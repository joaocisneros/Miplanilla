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4013b342a40d55c/Desktop/RRHH JCIS/PLANILLA/PLANILLA DE PAGO/JUNIO/JUNIO 1/junio1.1/"/>
    </mc:Choice>
  </mc:AlternateContent>
  <xr:revisionPtr revIDLastSave="9" documentId="13_ncr:1_{632D17A5-9893-433E-86E7-ADEC8F1A3C17}" xr6:coauthVersionLast="47" xr6:coauthVersionMax="47" xr10:uidLastSave="{6F9B3B86-6792-401F-8980-D583EE42E1F5}"/>
  <bookViews>
    <workbookView xWindow="-120" yWindow="-120" windowWidth="29040" windowHeight="15720" activeTab="3" xr2:uid="{00000000-000D-0000-FFFF-FFFF00000000}"/>
  </bookViews>
  <sheets>
    <sheet name="TASAS" sheetId="60" r:id="rId1"/>
    <sheet name="quinta categoria" sheetId="54" r:id="rId2"/>
    <sheet name="Tabla" sheetId="61" r:id="rId3"/>
    <sheet name="1RA QUINCENA JUNIO 26" sheetId="59" r:id="rId4"/>
    <sheet name="ASISTENCIA" sheetId="51" r:id="rId5"/>
    <sheet name="HOJA RXH" sheetId="52" r:id="rId6"/>
  </sheets>
  <definedNames>
    <definedName name="_xlnm._FilterDatabase" localSheetId="3" hidden="1">'1RA QUINCENA JUNIO 26'!$A$9:$BJ$9</definedName>
    <definedName name="TAB_AFP" localSheetId="0">TASAS!$B$5:$I$13</definedName>
    <definedName name="TAB_AFP">#REF!</definedName>
  </definedNames>
  <calcPr calcId="191029"/>
</workbook>
</file>

<file path=xl/calcChain.xml><?xml version="1.0" encoding="utf-8"?>
<calcChain xmlns="http://schemas.openxmlformats.org/spreadsheetml/2006/main">
  <c r="EF33" i="51" l="1"/>
  <c r="EE33" i="51"/>
  <c r="EC33" i="51"/>
  <c r="ED33" i="51" s="1"/>
  <c r="EF32" i="51"/>
  <c r="EE32" i="51"/>
  <c r="EC32" i="51"/>
  <c r="ED32" i="51" s="1"/>
  <c r="EF31" i="51"/>
  <c r="EE31" i="51"/>
  <c r="EC31" i="51"/>
  <c r="ED31" i="51" s="1"/>
  <c r="EF30" i="51"/>
  <c r="EE30" i="51"/>
  <c r="EC30" i="51"/>
  <c r="ED30" i="51" s="1"/>
  <c r="EF29" i="51"/>
  <c r="EE29" i="51"/>
  <c r="EC29" i="51"/>
  <c r="ED29" i="51" s="1"/>
  <c r="EF28" i="51"/>
  <c r="EE28" i="51"/>
  <c r="EC28" i="51"/>
  <c r="ED28" i="51" s="1"/>
  <c r="EF27" i="51"/>
  <c r="EC27" i="51"/>
  <c r="EE27" i="51" s="1"/>
  <c r="EF26" i="51"/>
  <c r="EE26" i="51"/>
  <c r="EC26" i="51"/>
  <c r="ED26" i="51" s="1"/>
  <c r="EF25" i="51"/>
  <c r="EE25" i="51"/>
  <c r="EC25" i="51"/>
  <c r="ED25" i="51" s="1"/>
  <c r="EF24" i="51"/>
  <c r="EE24" i="51"/>
  <c r="EC24" i="51"/>
  <c r="ED24" i="51" s="1"/>
  <c r="EF23" i="51"/>
  <c r="EE23" i="51"/>
  <c r="EC23" i="51"/>
  <c r="ED23" i="51" s="1"/>
  <c r="EF22" i="51"/>
  <c r="EE22" i="51"/>
  <c r="ED22" i="51"/>
  <c r="EC22" i="51"/>
  <c r="EF21" i="51"/>
  <c r="EE21" i="51"/>
  <c r="EL21" i="51" s="1"/>
  <c r="EC21" i="51"/>
  <c r="ED21" i="51" s="1"/>
  <c r="EF20" i="51"/>
  <c r="EE20" i="51"/>
  <c r="EC20" i="51"/>
  <c r="ED20" i="51" s="1"/>
  <c r="EF19" i="51"/>
  <c r="EC19" i="51"/>
  <c r="EE19" i="51" s="1"/>
  <c r="DK21" i="51"/>
  <c r="DN21" i="51" s="1"/>
  <c r="DL21" i="51"/>
  <c r="DM21" i="51"/>
  <c r="DK19" i="51"/>
  <c r="DL19" i="51"/>
  <c r="DM19" i="51"/>
  <c r="DN19" i="51"/>
  <c r="DT20" i="51"/>
  <c r="DT21" i="51"/>
  <c r="DT22" i="51"/>
  <c r="DT23" i="51"/>
  <c r="DT24" i="51"/>
  <c r="DT25" i="51"/>
  <c r="DT26" i="51"/>
  <c r="DT27" i="51"/>
  <c r="DT28" i="51"/>
  <c r="DT29" i="51"/>
  <c r="DT30" i="51"/>
  <c r="DT31" i="51"/>
  <c r="DT32" i="51"/>
  <c r="DT33" i="51"/>
  <c r="DT19" i="51"/>
  <c r="DK20" i="51"/>
  <c r="DK22" i="51"/>
  <c r="DK23" i="51"/>
  <c r="DK24" i="51"/>
  <c r="DK25" i="51"/>
  <c r="DK26" i="51"/>
  <c r="DK29" i="51"/>
  <c r="DK30" i="51"/>
  <c r="DK31" i="51"/>
  <c r="DK33" i="51"/>
  <c r="BI20" i="51"/>
  <c r="BI21" i="51"/>
  <c r="BI22" i="51"/>
  <c r="BI23" i="51"/>
  <c r="BI24" i="51"/>
  <c r="BI25" i="51"/>
  <c r="BI26" i="51"/>
  <c r="BI27" i="51"/>
  <c r="BI28" i="51"/>
  <c r="BI29" i="51"/>
  <c r="BI30" i="51"/>
  <c r="BI31" i="51"/>
  <c r="BI32" i="51"/>
  <c r="BI33" i="51"/>
  <c r="BI19" i="51"/>
  <c r="AZ20" i="51"/>
  <c r="AZ22" i="51"/>
  <c r="AZ23" i="51"/>
  <c r="AZ24" i="51"/>
  <c r="AZ25" i="51"/>
  <c r="AZ26" i="51"/>
  <c r="AZ29" i="51"/>
  <c r="AZ30" i="51"/>
  <c r="AZ31" i="51"/>
  <c r="AZ19" i="51"/>
  <c r="AQ19" i="51"/>
  <c r="AH19" i="51"/>
  <c r="Y19" i="51"/>
  <c r="P33" i="51"/>
  <c r="P19" i="51"/>
  <c r="G29" i="51"/>
  <c r="G33" i="51"/>
  <c r="G21" i="51"/>
  <c r="G23" i="51"/>
  <c r="G25" i="51"/>
  <c r="G19" i="51"/>
  <c r="I20" i="51"/>
  <c r="I22" i="51"/>
  <c r="I23" i="51"/>
  <c r="I24" i="51"/>
  <c r="I25" i="51"/>
  <c r="I26" i="51"/>
  <c r="I28" i="51"/>
  <c r="I29" i="51"/>
  <c r="I31" i="51"/>
  <c r="I32" i="51"/>
  <c r="I33" i="51"/>
  <c r="H33" i="51"/>
  <c r="J20" i="51"/>
  <c r="J23" i="51"/>
  <c r="J30" i="51"/>
  <c r="J31" i="51"/>
  <c r="J33" i="51"/>
  <c r="F4" i="51"/>
  <c r="G26" i="51" s="1"/>
  <c r="F3" i="51"/>
  <c r="G27" i="51" s="1"/>
  <c r="I27" i="51" s="1"/>
  <c r="AV11" i="59"/>
  <c r="AV12" i="59"/>
  <c r="AV13" i="59"/>
  <c r="AV14" i="59"/>
  <c r="AV15" i="59"/>
  <c r="AV16" i="59"/>
  <c r="AV17" i="59"/>
  <c r="AV19" i="59"/>
  <c r="AV20" i="59"/>
  <c r="AV22" i="59"/>
  <c r="AV23" i="59"/>
  <c r="AV24" i="59"/>
  <c r="AV10" i="59"/>
  <c r="F11" i="61"/>
  <c r="D11" i="61"/>
  <c r="M7" i="61"/>
  <c r="L7" i="61"/>
  <c r="F7" i="61"/>
  <c r="M6" i="61"/>
  <c r="L6" i="61"/>
  <c r="F6" i="61"/>
  <c r="M5" i="61"/>
  <c r="L5" i="61"/>
  <c r="F5" i="61"/>
  <c r="M4" i="61"/>
  <c r="L4" i="61"/>
  <c r="F4" i="61"/>
  <c r="D4" i="61"/>
  <c r="I13" i="60"/>
  <c r="I12" i="60"/>
  <c r="I11" i="60"/>
  <c r="I10" i="60"/>
  <c r="I9" i="60"/>
  <c r="I8" i="60"/>
  <c r="I7" i="60"/>
  <c r="I6" i="60"/>
  <c r="A6" i="60"/>
  <c r="A7" i="60" s="1"/>
  <c r="A8" i="60" s="1"/>
  <c r="A9" i="60" s="1"/>
  <c r="A10" i="60" s="1"/>
  <c r="A11" i="60" s="1"/>
  <c r="A12" i="60" s="1"/>
  <c r="A13" i="60" s="1"/>
  <c r="I5" i="60"/>
  <c r="ED19" i="51" l="1"/>
  <c r="ED27" i="51"/>
  <c r="G24" i="51"/>
  <c r="G32" i="51"/>
  <c r="G31" i="51"/>
  <c r="G22" i="51"/>
  <c r="G30" i="51"/>
  <c r="I30" i="51" s="1"/>
  <c r="G20" i="51"/>
  <c r="G28" i="51"/>
  <c r="I19" i="51"/>
  <c r="I21" i="51"/>
  <c r="J19" i="51"/>
  <c r="G4" i="51"/>
  <c r="J26" i="51"/>
  <c r="G3" i="51"/>
  <c r="B20" i="51"/>
  <c r="B21" i="51"/>
  <c r="B22" i="51"/>
  <c r="B23" i="51"/>
  <c r="B24" i="51"/>
  <c r="B25" i="51"/>
  <c r="B26" i="51"/>
  <c r="B27" i="51"/>
  <c r="B28" i="51"/>
  <c r="B29" i="51"/>
  <c r="B30" i="51"/>
  <c r="B31" i="51"/>
  <c r="B32" i="51"/>
  <c r="B33" i="51"/>
  <c r="B19" i="51"/>
  <c r="Q25" i="59"/>
  <c r="S25" i="59"/>
  <c r="V25" i="59"/>
  <c r="AA25" i="59"/>
  <c r="AB25" i="59"/>
  <c r="AD25" i="59"/>
  <c r="AE25" i="59"/>
  <c r="AF25" i="59"/>
  <c r="AG25" i="59"/>
  <c r="AI25" i="59"/>
  <c r="AT25" i="59"/>
  <c r="AU25" i="59"/>
  <c r="BB25" i="59"/>
  <c r="BF25" i="59"/>
  <c r="BH25" i="59"/>
  <c r="BI25" i="59"/>
  <c r="BG24" i="59"/>
  <c r="R24" i="59"/>
  <c r="BG23" i="59"/>
  <c r="T23" i="59"/>
  <c r="BE22" i="59"/>
  <c r="P22" i="59"/>
  <c r="BG21" i="59"/>
  <c r="BE21" i="59"/>
  <c r="AX21" i="59"/>
  <c r="AW21" i="59"/>
  <c r="T21" i="59"/>
  <c r="BG20" i="59"/>
  <c r="T20" i="59"/>
  <c r="BG19" i="59"/>
  <c r="T19" i="59"/>
  <c r="BG18" i="59"/>
  <c r="AX18" i="59"/>
  <c r="AW18" i="59"/>
  <c r="R18" i="59"/>
  <c r="BE17" i="59"/>
  <c r="P17" i="59"/>
  <c r="BG16" i="59"/>
  <c r="BE16" i="59"/>
  <c r="R16" i="59"/>
  <c r="BE15" i="59"/>
  <c r="P15" i="59"/>
  <c r="BG14" i="59"/>
  <c r="T14" i="59"/>
  <c r="BG13" i="59"/>
  <c r="T13" i="59"/>
  <c r="BG12" i="59"/>
  <c r="T12" i="59"/>
  <c r="BG11" i="59"/>
  <c r="AC11" i="59"/>
  <c r="T11" i="59"/>
  <c r="BG10" i="59"/>
  <c r="AC10" i="59"/>
  <c r="T10" i="59"/>
  <c r="B6" i="59"/>
  <c r="E13" i="54"/>
  <c r="E12" i="54"/>
  <c r="E11" i="54"/>
  <c r="E10" i="54"/>
  <c r="G6" i="54"/>
  <c r="D15" i="51"/>
  <c r="A7" i="52"/>
  <c r="M17" i="51"/>
  <c r="A20" i="51"/>
  <c r="A21" i="51" s="1"/>
  <c r="A22" i="51" s="1"/>
  <c r="A23" i="51" s="1"/>
  <c r="A24" i="51" s="1"/>
  <c r="A25" i="51" s="1"/>
  <c r="A26" i="51" s="1"/>
  <c r="A28" i="51" s="1"/>
  <c r="A29" i="51" s="1"/>
  <c r="A30" i="51" s="1"/>
  <c r="A31" i="51" s="1"/>
  <c r="A32" i="51" s="1"/>
  <c r="A33" i="51" s="1"/>
  <c r="D16" i="51"/>
  <c r="P23" i="51" l="1"/>
  <c r="P29" i="51"/>
  <c r="P24" i="51"/>
  <c r="P30" i="51"/>
  <c r="P25" i="51"/>
  <c r="P31" i="51"/>
  <c r="P20" i="51"/>
  <c r="P26" i="51"/>
  <c r="P32" i="51"/>
  <c r="P21" i="51"/>
  <c r="P27" i="51"/>
  <c r="R27" i="51" s="1"/>
  <c r="P22" i="51"/>
  <c r="P28" i="51"/>
  <c r="J24" i="51"/>
  <c r="J25" i="51"/>
  <c r="S20" i="51"/>
  <c r="S21" i="51"/>
  <c r="S22" i="51"/>
  <c r="S23" i="51"/>
  <c r="S28" i="51"/>
  <c r="S29" i="51"/>
  <c r="S30" i="51"/>
  <c r="S31" i="51"/>
  <c r="S19" i="51"/>
  <c r="S33" i="51"/>
  <c r="R20" i="51"/>
  <c r="R21" i="51"/>
  <c r="R22" i="51"/>
  <c r="R23" i="51"/>
  <c r="R24" i="51"/>
  <c r="R25" i="51"/>
  <c r="R26" i="51"/>
  <c r="R28" i="51"/>
  <c r="R29" i="51"/>
  <c r="R30" i="51"/>
  <c r="R31" i="51"/>
  <c r="R32" i="51"/>
  <c r="R33" i="51"/>
  <c r="Q33" i="51"/>
  <c r="S24" i="51"/>
  <c r="S25" i="51"/>
  <c r="S26" i="51"/>
  <c r="S27" i="51"/>
  <c r="S32" i="51"/>
  <c r="R19" i="51"/>
  <c r="Q19" i="51"/>
  <c r="J21" i="51"/>
  <c r="J22" i="51"/>
  <c r="J27" i="51"/>
  <c r="J28" i="51"/>
  <c r="J29" i="51"/>
  <c r="J32" i="51"/>
  <c r="BG22" i="59"/>
  <c r="AQ25" i="59"/>
  <c r="P25" i="59"/>
  <c r="R25" i="59"/>
  <c r="AC25" i="59"/>
  <c r="T22" i="59"/>
  <c r="T18" i="59"/>
  <c r="BG17" i="59"/>
  <c r="T17" i="59"/>
  <c r="T24" i="59"/>
  <c r="T16" i="59"/>
  <c r="BG15" i="59"/>
  <c r="T15" i="59"/>
  <c r="C6" i="59"/>
  <c r="D6" i="59" s="1"/>
  <c r="E6" i="59" s="1"/>
  <c r="F6" i="59" s="1"/>
  <c r="G6" i="59" s="1"/>
  <c r="H6" i="59" s="1"/>
  <c r="I6" i="59" s="1"/>
  <c r="J6" i="59" s="1"/>
  <c r="K6" i="59" s="1"/>
  <c r="L6" i="59" s="1"/>
  <c r="M6" i="59" s="1"/>
  <c r="N6" i="59" s="1"/>
  <c r="O6" i="59" s="1"/>
  <c r="P6" i="59" s="1"/>
  <c r="Q6" i="59" s="1"/>
  <c r="R6" i="59" s="1"/>
  <c r="S6" i="59" s="1"/>
  <c r="T6" i="59" s="1"/>
  <c r="U6" i="59" s="1"/>
  <c r="V6" i="59" s="1"/>
  <c r="W6" i="59" s="1"/>
  <c r="X6" i="59" s="1"/>
  <c r="Y6" i="59" s="1"/>
  <c r="Z6" i="59" s="1"/>
  <c r="AA6" i="59" s="1"/>
  <c r="AB6" i="59" s="1"/>
  <c r="AC6" i="59" s="1"/>
  <c r="AD6" i="59" s="1"/>
  <c r="AE6" i="59" s="1"/>
  <c r="AF6" i="59" s="1"/>
  <c r="AG6" i="59" s="1"/>
  <c r="AH6" i="59" s="1"/>
  <c r="AI6" i="59" s="1"/>
  <c r="AJ6" i="59" s="1"/>
  <c r="AK6" i="59" s="1"/>
  <c r="AL6" i="59" s="1"/>
  <c r="AM6" i="59" s="1"/>
  <c r="AN6" i="59" s="1"/>
  <c r="AO6" i="59" s="1"/>
  <c r="AP6" i="59" s="1"/>
  <c r="AQ6" i="59" s="1"/>
  <c r="AR6" i="59" s="1"/>
  <c r="AS6" i="59" s="1"/>
  <c r="AT6" i="59" s="1"/>
  <c r="AU6" i="59" s="1"/>
  <c r="AV6" i="59" s="1"/>
  <c r="AW6" i="59" s="1"/>
  <c r="AX6" i="59" s="1"/>
  <c r="AY6" i="59" s="1"/>
  <c r="AZ6" i="59" s="1"/>
  <c r="BA6" i="59" s="1"/>
  <c r="BB6" i="59" s="1"/>
  <c r="BC6" i="59" s="1"/>
  <c r="BD6" i="59" s="1"/>
  <c r="BE6" i="59" s="1"/>
  <c r="BF6" i="59" s="1"/>
  <c r="BG6" i="59" s="1"/>
  <c r="BH6" i="59" s="1"/>
  <c r="BI6" i="59" s="1"/>
  <c r="BJ6" i="59" s="1"/>
  <c r="G7" i="54"/>
  <c r="E14" i="54"/>
  <c r="M15" i="51"/>
  <c r="B7" i="52"/>
  <c r="B8" i="52"/>
  <c r="B9" i="52"/>
  <c r="B10" i="52"/>
  <c r="B11" i="52"/>
  <c r="B12" i="52"/>
  <c r="B13" i="52"/>
  <c r="B14" i="52"/>
  <c r="B15" i="52"/>
  <c r="B16" i="52"/>
  <c r="B17" i="52"/>
  <c r="B18" i="52"/>
  <c r="B19" i="52"/>
  <c r="B20" i="52"/>
  <c r="B6" i="52"/>
  <c r="A8" i="52"/>
  <c r="A9" i="52" s="1"/>
  <c r="A10" i="52" s="1"/>
  <c r="A11" i="52" s="1"/>
  <c r="A12" i="52" s="1"/>
  <c r="M16" i="51"/>
  <c r="V17" i="51"/>
  <c r="H4" i="51"/>
  <c r="H23" i="51" s="1"/>
  <c r="H3" i="51"/>
  <c r="H20" i="51" s="1"/>
  <c r="Q20" i="51" l="1"/>
  <c r="Y20" i="51"/>
  <c r="Y26" i="51"/>
  <c r="Y32" i="51"/>
  <c r="Y21" i="51"/>
  <c r="Y27" i="51"/>
  <c r="Y33" i="51"/>
  <c r="Y22" i="51"/>
  <c r="Y28" i="51"/>
  <c r="Y23" i="51"/>
  <c r="Y29" i="51"/>
  <c r="Y24" i="51"/>
  <c r="Y30" i="51"/>
  <c r="Y25" i="51"/>
  <c r="Y31" i="51"/>
  <c r="H21" i="51"/>
  <c r="Q31" i="51"/>
  <c r="Q30" i="51"/>
  <c r="H30" i="51"/>
  <c r="Q23" i="51"/>
  <c r="H31" i="51"/>
  <c r="AB21" i="51"/>
  <c r="AB23" i="51"/>
  <c r="AB25" i="51"/>
  <c r="AB27" i="51"/>
  <c r="AB29" i="51"/>
  <c r="AB31" i="51"/>
  <c r="AB33" i="51"/>
  <c r="AA21" i="51"/>
  <c r="AA22" i="51"/>
  <c r="AA24" i="51"/>
  <c r="AA26" i="51"/>
  <c r="Z19" i="51"/>
  <c r="AA28" i="51"/>
  <c r="AA29" i="51"/>
  <c r="AA30" i="51"/>
  <c r="AA31" i="51"/>
  <c r="AA32" i="51"/>
  <c r="AA33" i="51"/>
  <c r="Z20" i="51"/>
  <c r="Z23" i="51"/>
  <c r="Z30" i="51"/>
  <c r="Z31" i="51"/>
  <c r="AA19" i="51"/>
  <c r="AB20" i="51"/>
  <c r="AB22" i="51"/>
  <c r="AB24" i="51"/>
  <c r="AB26" i="51"/>
  <c r="AB28" i="51"/>
  <c r="AB30" i="51"/>
  <c r="AB32" i="51"/>
  <c r="AA20" i="51"/>
  <c r="AA23" i="51"/>
  <c r="AA25" i="51"/>
  <c r="AA27" i="51"/>
  <c r="AB19" i="51"/>
  <c r="Q28" i="51"/>
  <c r="Q21" i="51"/>
  <c r="Q22" i="51"/>
  <c r="Q25" i="51"/>
  <c r="Q29" i="51"/>
  <c r="Q26" i="51"/>
  <c r="Q27" i="51"/>
  <c r="Q32" i="51"/>
  <c r="Q24" i="51"/>
  <c r="H19" i="51"/>
  <c r="H29" i="51"/>
  <c r="H32" i="51"/>
  <c r="H22" i="51"/>
  <c r="H27" i="51"/>
  <c r="H28" i="51"/>
  <c r="H25" i="51"/>
  <c r="H24" i="51"/>
  <c r="H26" i="51"/>
  <c r="V15" i="51"/>
  <c r="T25" i="59"/>
  <c r="BG25" i="59"/>
  <c r="F14" i="54"/>
  <c r="F10" i="54"/>
  <c r="G10" i="54" s="1"/>
  <c r="A13" i="52"/>
  <c r="A14" i="52" s="1"/>
  <c r="A15" i="52" s="1"/>
  <c r="A16" i="52" s="1"/>
  <c r="A17" i="52" s="1"/>
  <c r="A18" i="52" s="1"/>
  <c r="A19" i="52" s="1"/>
  <c r="A20" i="52" s="1"/>
  <c r="AE17" i="51"/>
  <c r="V16" i="51"/>
  <c r="AH23" i="51" l="1"/>
  <c r="AH29" i="51"/>
  <c r="AJ29" i="51" s="1"/>
  <c r="AH24" i="51"/>
  <c r="AH30" i="51"/>
  <c r="AI30" i="51" s="1"/>
  <c r="AH25" i="51"/>
  <c r="AH31" i="51"/>
  <c r="AH20" i="51"/>
  <c r="AH26" i="51"/>
  <c r="AH32" i="51"/>
  <c r="AH21" i="51"/>
  <c r="AH27" i="51"/>
  <c r="AJ27" i="51" s="1"/>
  <c r="AH33" i="51"/>
  <c r="AH22" i="51"/>
  <c r="AH28" i="51"/>
  <c r="Z32" i="51"/>
  <c r="Z27" i="51"/>
  <c r="Z29" i="51"/>
  <c r="AK20" i="51"/>
  <c r="AK21" i="51"/>
  <c r="AK22" i="51"/>
  <c r="AK23" i="51"/>
  <c r="AK24" i="51"/>
  <c r="AK25" i="51"/>
  <c r="AK26" i="51"/>
  <c r="AK27" i="51"/>
  <c r="AK28" i="51"/>
  <c r="AK29" i="51"/>
  <c r="AK30" i="51"/>
  <c r="AK31" i="51"/>
  <c r="AK32" i="51"/>
  <c r="AK33" i="51"/>
  <c r="AJ20" i="51"/>
  <c r="AJ21" i="51"/>
  <c r="AJ22" i="51"/>
  <c r="AJ23" i="51"/>
  <c r="AJ24" i="51"/>
  <c r="AJ25" i="51"/>
  <c r="AJ26" i="51"/>
  <c r="AJ28" i="51"/>
  <c r="AJ30" i="51"/>
  <c r="AJ31" i="51"/>
  <c r="AJ32" i="51"/>
  <c r="AJ33" i="51"/>
  <c r="AI20" i="51"/>
  <c r="AI23" i="51"/>
  <c r="AI24" i="51"/>
  <c r="AI31" i="51"/>
  <c r="AK19" i="51"/>
  <c r="AJ19" i="51"/>
  <c r="AI19" i="51"/>
  <c r="Z21" i="51"/>
  <c r="Z24" i="51"/>
  <c r="Z25" i="51"/>
  <c r="Z22" i="51"/>
  <c r="Z26" i="51"/>
  <c r="Z33" i="51"/>
  <c r="Z28" i="51"/>
  <c r="AE15" i="51"/>
  <c r="G14" i="54"/>
  <c r="F11" i="54"/>
  <c r="G11" i="54" s="1"/>
  <c r="F12" i="54"/>
  <c r="G12" i="54" s="1"/>
  <c r="AE16" i="51"/>
  <c r="AN17" i="51"/>
  <c r="AQ20" i="51" l="1"/>
  <c r="AQ26" i="51"/>
  <c r="AQ32" i="51"/>
  <c r="AS32" i="51" s="1"/>
  <c r="AQ21" i="51"/>
  <c r="AQ27" i="51"/>
  <c r="AS27" i="51" s="1"/>
  <c r="AQ33" i="51"/>
  <c r="AQ22" i="51"/>
  <c r="AQ28" i="51"/>
  <c r="AQ23" i="51"/>
  <c r="AQ29" i="51"/>
  <c r="AQ24" i="51"/>
  <c r="AQ30" i="51"/>
  <c r="AQ25" i="51"/>
  <c r="AQ31" i="51"/>
  <c r="AT20" i="51"/>
  <c r="AT21" i="51"/>
  <c r="AT22" i="51"/>
  <c r="AT23" i="51"/>
  <c r="AT24" i="51"/>
  <c r="AT25" i="51"/>
  <c r="AT26" i="51"/>
  <c r="AT27" i="51"/>
  <c r="AT28" i="51"/>
  <c r="AT29" i="51"/>
  <c r="AT30" i="51"/>
  <c r="AT31" i="51"/>
  <c r="AT32" i="51"/>
  <c r="AT33" i="51"/>
  <c r="AS20" i="51"/>
  <c r="AS21" i="51"/>
  <c r="AS22" i="51"/>
  <c r="AS23" i="51"/>
  <c r="AS24" i="51"/>
  <c r="AS25" i="51"/>
  <c r="AS26" i="51"/>
  <c r="AS28" i="51"/>
  <c r="AS29" i="51"/>
  <c r="AS30" i="51"/>
  <c r="AS31" i="51"/>
  <c r="AS33" i="51"/>
  <c r="AR20" i="51"/>
  <c r="AR23" i="51"/>
  <c r="AR30" i="51"/>
  <c r="AR31" i="51"/>
  <c r="AS19" i="51"/>
  <c r="AR19" i="51"/>
  <c r="AT19" i="51"/>
  <c r="AI28" i="51"/>
  <c r="AI22" i="51"/>
  <c r="AI21" i="51"/>
  <c r="AI27" i="51"/>
  <c r="AI33" i="51"/>
  <c r="AI25" i="51"/>
  <c r="AI26" i="51"/>
  <c r="AI29" i="51"/>
  <c r="AI32" i="51"/>
  <c r="AN15" i="51"/>
  <c r="F13" i="54"/>
  <c r="AN16" i="51"/>
  <c r="AW17" i="51"/>
  <c r="AZ32" i="51" l="1"/>
  <c r="AZ21" i="51"/>
  <c r="AZ27" i="51"/>
  <c r="AZ33" i="51"/>
  <c r="AZ28" i="51"/>
  <c r="AR24" i="51"/>
  <c r="AR33" i="51"/>
  <c r="AR22" i="51"/>
  <c r="AR25" i="51"/>
  <c r="AR26" i="51"/>
  <c r="AR27" i="51"/>
  <c r="AR28" i="51"/>
  <c r="AR29" i="51"/>
  <c r="AR32" i="51"/>
  <c r="BC20" i="51"/>
  <c r="BC22" i="51"/>
  <c r="BC23" i="51"/>
  <c r="BC24" i="51"/>
  <c r="BC25" i="51"/>
  <c r="BC26" i="51"/>
  <c r="BC29" i="51"/>
  <c r="BC30" i="51"/>
  <c r="BC31" i="51"/>
  <c r="BB20" i="51"/>
  <c r="BB21" i="51"/>
  <c r="BB22" i="51"/>
  <c r="BB23" i="51"/>
  <c r="BB24" i="51"/>
  <c r="BB25" i="51"/>
  <c r="BB26" i="51"/>
  <c r="BB27" i="51"/>
  <c r="BB28" i="51"/>
  <c r="BB29" i="51"/>
  <c r="BB30" i="51"/>
  <c r="BB31" i="51"/>
  <c r="BB32" i="51"/>
  <c r="BB33" i="51"/>
  <c r="BA20" i="51"/>
  <c r="BA21" i="51"/>
  <c r="BA22" i="51"/>
  <c r="BA23" i="51"/>
  <c r="BA24" i="51"/>
  <c r="BA25" i="51"/>
  <c r="BA26" i="51"/>
  <c r="BA29" i="51"/>
  <c r="BA30" i="51"/>
  <c r="BA31" i="51"/>
  <c r="BC19" i="51"/>
  <c r="BB19" i="51"/>
  <c r="BA19" i="51"/>
  <c r="AR21" i="51"/>
  <c r="AW15" i="51"/>
  <c r="F15" i="54"/>
  <c r="G13" i="54"/>
  <c r="G15" i="54" s="1"/>
  <c r="G17" i="54" s="1"/>
  <c r="BF17" i="51"/>
  <c r="AW16" i="51"/>
  <c r="BA27" i="51" l="1"/>
  <c r="BA28" i="51"/>
  <c r="BA32" i="51"/>
  <c r="BA33" i="51"/>
  <c r="BC33" i="51"/>
  <c r="BC28" i="51"/>
  <c r="BC32" i="51"/>
  <c r="BL20" i="51"/>
  <c r="BL21" i="51"/>
  <c r="BL22" i="51"/>
  <c r="BL23" i="51"/>
  <c r="BL24" i="51"/>
  <c r="BL25" i="51"/>
  <c r="BL26" i="51"/>
  <c r="BL27" i="51"/>
  <c r="BL28" i="51"/>
  <c r="BL29" i="51"/>
  <c r="BL30" i="51"/>
  <c r="BL31" i="51"/>
  <c r="BL32" i="51"/>
  <c r="BL33" i="51"/>
  <c r="BK20" i="51"/>
  <c r="BK21" i="51"/>
  <c r="BK22" i="51"/>
  <c r="BK23" i="51"/>
  <c r="BK24" i="51"/>
  <c r="BK25" i="51"/>
  <c r="BK26" i="51"/>
  <c r="BK27" i="51"/>
  <c r="BK28" i="51"/>
  <c r="BK29" i="51"/>
  <c r="BK30" i="51"/>
  <c r="BK31" i="51"/>
  <c r="BK32" i="51"/>
  <c r="BK33" i="51"/>
  <c r="BJ20" i="51"/>
  <c r="BJ21" i="51"/>
  <c r="BJ22" i="51"/>
  <c r="BJ23" i="51"/>
  <c r="BJ24" i="51"/>
  <c r="BJ25" i="51"/>
  <c r="BJ26" i="51"/>
  <c r="BJ27" i="51"/>
  <c r="BJ28" i="51"/>
  <c r="BJ29" i="51"/>
  <c r="BJ30" i="51"/>
  <c r="BJ31" i="51"/>
  <c r="BJ32" i="51"/>
  <c r="BJ33" i="51"/>
  <c r="BL19" i="51"/>
  <c r="BK19" i="51"/>
  <c r="BJ19" i="51"/>
  <c r="BC27" i="51"/>
  <c r="BC21" i="51"/>
  <c r="BF15" i="51"/>
  <c r="BF16" i="51"/>
  <c r="BO17" i="51"/>
  <c r="BR23" i="51" l="1"/>
  <c r="BR29" i="51"/>
  <c r="BR24" i="51"/>
  <c r="BR30" i="51"/>
  <c r="BR25" i="51"/>
  <c r="BR31" i="51"/>
  <c r="BR20" i="51"/>
  <c r="BR26" i="51"/>
  <c r="BR32" i="51"/>
  <c r="BR21" i="51"/>
  <c r="BR27" i="51"/>
  <c r="BR33" i="51"/>
  <c r="BR22" i="51"/>
  <c r="BR28" i="51"/>
  <c r="BR19" i="51"/>
  <c r="BU20" i="51"/>
  <c r="BU23" i="51"/>
  <c r="BU24" i="51"/>
  <c r="BU25" i="51"/>
  <c r="BU30" i="51"/>
  <c r="BU31" i="51"/>
  <c r="BT20" i="51"/>
  <c r="BT21" i="51"/>
  <c r="BT22" i="51"/>
  <c r="BT23" i="51"/>
  <c r="BT24" i="51"/>
  <c r="BT25" i="51"/>
  <c r="BT26" i="51"/>
  <c r="BT27" i="51"/>
  <c r="BT28" i="51"/>
  <c r="BT29" i="51"/>
  <c r="BT30" i="51"/>
  <c r="BT31" i="51"/>
  <c r="BT32" i="51"/>
  <c r="BT33" i="51"/>
  <c r="BU21" i="51"/>
  <c r="BU22" i="51"/>
  <c r="BU26" i="51"/>
  <c r="BU27" i="51"/>
  <c r="BU28" i="51"/>
  <c r="BU29" i="51"/>
  <c r="BU32" i="51"/>
  <c r="BU33" i="51"/>
  <c r="BS20" i="51"/>
  <c r="BS23" i="51"/>
  <c r="BS30" i="51"/>
  <c r="BS31" i="51"/>
  <c r="BT19" i="51"/>
  <c r="BO15" i="51"/>
  <c r="BO16" i="51"/>
  <c r="BX17" i="51"/>
  <c r="CA20" i="51" l="1"/>
  <c r="CA26" i="51"/>
  <c r="CA32" i="51"/>
  <c r="CA21" i="51"/>
  <c r="CA27" i="51"/>
  <c r="CC27" i="51" s="1"/>
  <c r="CA33" i="51"/>
  <c r="CC33" i="51" s="1"/>
  <c r="CA22" i="51"/>
  <c r="CA28" i="51"/>
  <c r="CC28" i="51" s="1"/>
  <c r="CA19" i="51"/>
  <c r="CC19" i="51" s="1"/>
  <c r="CA23" i="51"/>
  <c r="CA29" i="51"/>
  <c r="CA24" i="51"/>
  <c r="CB24" i="51" s="1"/>
  <c r="CA30" i="51"/>
  <c r="CA25" i="51"/>
  <c r="CA31" i="51"/>
  <c r="BU19" i="51"/>
  <c r="BS22" i="51"/>
  <c r="BS24" i="51"/>
  <c r="BS32" i="51"/>
  <c r="BS33" i="51"/>
  <c r="CD20" i="51"/>
  <c r="CD23" i="51"/>
  <c r="CD24" i="51"/>
  <c r="CD26" i="51"/>
  <c r="CD30" i="51"/>
  <c r="CD31" i="51"/>
  <c r="CD32" i="51"/>
  <c r="CC20" i="51"/>
  <c r="CC21" i="51"/>
  <c r="CC22" i="51"/>
  <c r="CC23" i="51"/>
  <c r="CC24" i="51"/>
  <c r="CC25" i="51"/>
  <c r="CC26" i="51"/>
  <c r="CC29" i="51"/>
  <c r="CC30" i="51"/>
  <c r="CC31" i="51"/>
  <c r="CC32" i="51"/>
  <c r="CB20" i="51"/>
  <c r="CB23" i="51"/>
  <c r="CB30" i="51"/>
  <c r="CB31" i="51"/>
  <c r="CD19" i="51"/>
  <c r="CD21" i="51"/>
  <c r="CD22" i="51"/>
  <c r="CD25" i="51"/>
  <c r="CD27" i="51"/>
  <c r="CD28" i="51"/>
  <c r="CD29" i="51"/>
  <c r="CD33" i="51"/>
  <c r="BS21" i="51"/>
  <c r="BS25" i="51"/>
  <c r="BS26" i="51"/>
  <c r="BS27" i="51"/>
  <c r="BS28" i="51"/>
  <c r="BS29" i="51"/>
  <c r="BS19" i="51"/>
  <c r="BX15" i="51"/>
  <c r="CG17" i="51"/>
  <c r="BX16" i="51"/>
  <c r="CJ23" i="51" l="1"/>
  <c r="CJ29" i="51"/>
  <c r="CJ24" i="51"/>
  <c r="CK24" i="51" s="1"/>
  <c r="CJ30" i="51"/>
  <c r="CJ25" i="51"/>
  <c r="CJ31" i="51"/>
  <c r="CK31" i="51" s="1"/>
  <c r="CJ20" i="51"/>
  <c r="CJ26" i="51"/>
  <c r="CJ32" i="51"/>
  <c r="CJ21" i="51"/>
  <c r="CJ27" i="51"/>
  <c r="CJ33" i="51"/>
  <c r="CK33" i="51" s="1"/>
  <c r="CJ22" i="51"/>
  <c r="CJ28" i="51"/>
  <c r="CJ19" i="51"/>
  <c r="CK19" i="51" s="1"/>
  <c r="CB21" i="51"/>
  <c r="CB26" i="51"/>
  <c r="CB19" i="51"/>
  <c r="CB22" i="51"/>
  <c r="CB32" i="51"/>
  <c r="CB25" i="51"/>
  <c r="CB33" i="51"/>
  <c r="CM20" i="51"/>
  <c r="CM21" i="51"/>
  <c r="CM22" i="51"/>
  <c r="CM23" i="51"/>
  <c r="CM24" i="51"/>
  <c r="CM25" i="51"/>
  <c r="CM26" i="51"/>
  <c r="CM27" i="51"/>
  <c r="CM28" i="51"/>
  <c r="CM29" i="51"/>
  <c r="CM30" i="51"/>
  <c r="CM31" i="51"/>
  <c r="CM32" i="51"/>
  <c r="CM33" i="51"/>
  <c r="CL20" i="51"/>
  <c r="CL21" i="51"/>
  <c r="CL22" i="51"/>
  <c r="CL23" i="51"/>
  <c r="CL24" i="51"/>
  <c r="CL25" i="51"/>
  <c r="CL26" i="51"/>
  <c r="CL27" i="51"/>
  <c r="CL28" i="51"/>
  <c r="CL29" i="51"/>
  <c r="CL30" i="51"/>
  <c r="CL31" i="51"/>
  <c r="CL32" i="51"/>
  <c r="CL33" i="51"/>
  <c r="CK20" i="51"/>
  <c r="CK21" i="51"/>
  <c r="CK22" i="51"/>
  <c r="CK23" i="51"/>
  <c r="CK25" i="51"/>
  <c r="CK26" i="51"/>
  <c r="CK27" i="51"/>
  <c r="CK28" i="51"/>
  <c r="CK29" i="51"/>
  <c r="CK30" i="51"/>
  <c r="CK32" i="51"/>
  <c r="CM19" i="51"/>
  <c r="CL19" i="51"/>
  <c r="CB27" i="51"/>
  <c r="CB28" i="51"/>
  <c r="CB29" i="51"/>
  <c r="CG15" i="51"/>
  <c r="CG16" i="51"/>
  <c r="CP17" i="51"/>
  <c r="CS20" i="51" l="1"/>
  <c r="CS26" i="51"/>
  <c r="CS32" i="51"/>
  <c r="CS21" i="51"/>
  <c r="CS27" i="51"/>
  <c r="CT27" i="51" s="1"/>
  <c r="CS33" i="51"/>
  <c r="CS22" i="51"/>
  <c r="CS28" i="51"/>
  <c r="CS19" i="51"/>
  <c r="CT19" i="51" s="1"/>
  <c r="CS23" i="51"/>
  <c r="CS29" i="51"/>
  <c r="CT29" i="51" s="1"/>
  <c r="CS24" i="51"/>
  <c r="CS30" i="51"/>
  <c r="CS25" i="51"/>
  <c r="CS31" i="51"/>
  <c r="CV20" i="51"/>
  <c r="CV21" i="51"/>
  <c r="CV22" i="51"/>
  <c r="CV23" i="51"/>
  <c r="CV24" i="51"/>
  <c r="CV25" i="51"/>
  <c r="CV26" i="51"/>
  <c r="CV27" i="51"/>
  <c r="CV28" i="51"/>
  <c r="CV29" i="51"/>
  <c r="CV30" i="51"/>
  <c r="CV31" i="51"/>
  <c r="CV32" i="51"/>
  <c r="CV33" i="51"/>
  <c r="CU20" i="51"/>
  <c r="CU21" i="51"/>
  <c r="CU22" i="51"/>
  <c r="CU23" i="51"/>
  <c r="CU24" i="51"/>
  <c r="CU25" i="51"/>
  <c r="CU26" i="51"/>
  <c r="CU27" i="51"/>
  <c r="CU28" i="51"/>
  <c r="CU29" i="51"/>
  <c r="CU30" i="51"/>
  <c r="CU31" i="51"/>
  <c r="CU32" i="51"/>
  <c r="CU33" i="51"/>
  <c r="CT20" i="51"/>
  <c r="CT21" i="51"/>
  <c r="CT22" i="51"/>
  <c r="CT23" i="51"/>
  <c r="CT24" i="51"/>
  <c r="CU19" i="51"/>
  <c r="CT25" i="51"/>
  <c r="CT26" i="51"/>
  <c r="CT28" i="51"/>
  <c r="CT30" i="51"/>
  <c r="CT31" i="51"/>
  <c r="CT32" i="51"/>
  <c r="CT33" i="51"/>
  <c r="CV19" i="51"/>
  <c r="CP15" i="51"/>
  <c r="CP16" i="51"/>
  <c r="CY17" i="51"/>
  <c r="DB23" i="51" l="1"/>
  <c r="DB29" i="51"/>
  <c r="DB24" i="51"/>
  <c r="DB30" i="51"/>
  <c r="DB25" i="51"/>
  <c r="DB31" i="51"/>
  <c r="DC31" i="51" s="1"/>
  <c r="DB20" i="51"/>
  <c r="DB26" i="51"/>
  <c r="DB32" i="51"/>
  <c r="DB21" i="51"/>
  <c r="DB27" i="51"/>
  <c r="DC27" i="51" s="1"/>
  <c r="DB33" i="51"/>
  <c r="DC33" i="51" s="1"/>
  <c r="DB22" i="51"/>
  <c r="DB28" i="51"/>
  <c r="DB19" i="51"/>
  <c r="DD19" i="51" s="1"/>
  <c r="DE20" i="51"/>
  <c r="DE21" i="51"/>
  <c r="DE22" i="51"/>
  <c r="DE23" i="51"/>
  <c r="DE24" i="51"/>
  <c r="DE25" i="51"/>
  <c r="DE26" i="51"/>
  <c r="DE27" i="51"/>
  <c r="DE28" i="51"/>
  <c r="DE29" i="51"/>
  <c r="DE30" i="51"/>
  <c r="DE31" i="51"/>
  <c r="DE32" i="51"/>
  <c r="DE33" i="51"/>
  <c r="DD20" i="51"/>
  <c r="DD21" i="51"/>
  <c r="DD22" i="51"/>
  <c r="DD23" i="51"/>
  <c r="DD24" i="51"/>
  <c r="DD25" i="51"/>
  <c r="DD26" i="51"/>
  <c r="DD28" i="51"/>
  <c r="DD29" i="51"/>
  <c r="DD30" i="51"/>
  <c r="DD31" i="51"/>
  <c r="DD32" i="51"/>
  <c r="DD33" i="51"/>
  <c r="DC20" i="51"/>
  <c r="DC21" i="51"/>
  <c r="DC22" i="51"/>
  <c r="DC23" i="51"/>
  <c r="DC24" i="51"/>
  <c r="DC25" i="51"/>
  <c r="DC26" i="51"/>
  <c r="DC28" i="51"/>
  <c r="DC29" i="51"/>
  <c r="DC30" i="51"/>
  <c r="DC32" i="51"/>
  <c r="DE19" i="51"/>
  <c r="CY15" i="51"/>
  <c r="CY16" i="51"/>
  <c r="DH17" i="51"/>
  <c r="DD27" i="51" l="1"/>
  <c r="DC19" i="51"/>
  <c r="DK32" i="51"/>
  <c r="DK27" i="51"/>
  <c r="DK28" i="51"/>
  <c r="DN28" i="51" s="1"/>
  <c r="DN20" i="51"/>
  <c r="DN22" i="51"/>
  <c r="DN23" i="51"/>
  <c r="DN24" i="51"/>
  <c r="DN25" i="51"/>
  <c r="DN26" i="51"/>
  <c r="DN27" i="51"/>
  <c r="DN29" i="51"/>
  <c r="DN30" i="51"/>
  <c r="DN31" i="51"/>
  <c r="DN32" i="51"/>
  <c r="DN33" i="51"/>
  <c r="DM20" i="51"/>
  <c r="DM22" i="51"/>
  <c r="DM23" i="51"/>
  <c r="DM24" i="51"/>
  <c r="DM25" i="51"/>
  <c r="DM26" i="51"/>
  <c r="DM27" i="51"/>
  <c r="DM28" i="51"/>
  <c r="DM29" i="51"/>
  <c r="DM30" i="51"/>
  <c r="DM31" i="51"/>
  <c r="DM32" i="51"/>
  <c r="DM33" i="51"/>
  <c r="DL20" i="51"/>
  <c r="DL22" i="51"/>
  <c r="DL23" i="51"/>
  <c r="DL24" i="51"/>
  <c r="DL25" i="51"/>
  <c r="DL26" i="51"/>
  <c r="DL27" i="51"/>
  <c r="DL28" i="51"/>
  <c r="DL29" i="51"/>
  <c r="DL30" i="51"/>
  <c r="DL31" i="51"/>
  <c r="DL32" i="51"/>
  <c r="DL33" i="51"/>
  <c r="DH15" i="51"/>
  <c r="DQ17" i="51"/>
  <c r="DH16" i="51"/>
  <c r="DW20" i="51" l="1"/>
  <c r="DW21" i="51"/>
  <c r="DW22" i="51"/>
  <c r="DW23" i="51"/>
  <c r="DW24" i="51"/>
  <c r="DW25" i="51"/>
  <c r="DW26" i="51"/>
  <c r="DW27" i="51"/>
  <c r="DW28" i="51"/>
  <c r="DW29" i="51"/>
  <c r="DW30" i="51"/>
  <c r="DW31" i="51"/>
  <c r="DW32" i="51"/>
  <c r="DW33" i="51"/>
  <c r="DV20" i="51"/>
  <c r="DV21" i="51"/>
  <c r="DV22" i="51"/>
  <c r="DV23" i="51"/>
  <c r="DV24" i="51"/>
  <c r="DV25" i="51"/>
  <c r="DV26" i="51"/>
  <c r="DV27" i="51"/>
  <c r="DV28" i="51"/>
  <c r="DV29" i="51"/>
  <c r="DV30" i="51"/>
  <c r="DV31" i="51"/>
  <c r="DV32" i="51"/>
  <c r="DV33" i="51"/>
  <c r="DU20" i="51"/>
  <c r="DU21" i="51"/>
  <c r="DU22" i="51"/>
  <c r="DU23" i="51"/>
  <c r="DU24" i="51"/>
  <c r="DV19" i="51"/>
  <c r="DU25" i="51"/>
  <c r="DU26" i="51"/>
  <c r="DU27" i="51"/>
  <c r="DU28" i="51"/>
  <c r="DU29" i="51"/>
  <c r="DU30" i="51"/>
  <c r="DU31" i="51"/>
  <c r="DU32" i="51"/>
  <c r="DU33" i="51"/>
  <c r="DW19" i="51"/>
  <c r="DU19" i="51"/>
  <c r="DQ15" i="51"/>
  <c r="DZ17" i="51"/>
  <c r="DQ16" i="51"/>
  <c r="EM26" i="51" l="1"/>
  <c r="EM32" i="51"/>
  <c r="EK20" i="51"/>
  <c r="AB7" i="52" s="1"/>
  <c r="AB8" i="52"/>
  <c r="EK23" i="51"/>
  <c r="AB10" i="52" s="1"/>
  <c r="AB11" i="52"/>
  <c r="EK25" i="51"/>
  <c r="AB12" i="52" s="1"/>
  <c r="EK26" i="51"/>
  <c r="AB13" i="52" s="1"/>
  <c r="EK27" i="51"/>
  <c r="AB14" i="52" s="1"/>
  <c r="EK28" i="51"/>
  <c r="AB15" i="52" s="1"/>
  <c r="EK29" i="51"/>
  <c r="AB16" i="52" s="1"/>
  <c r="EK30" i="51"/>
  <c r="AB17" i="52" s="1"/>
  <c r="EK31" i="51"/>
  <c r="AB18" i="52" s="1"/>
  <c r="EK32" i="51"/>
  <c r="AB19" i="52" s="1"/>
  <c r="EK33" i="51"/>
  <c r="AB20" i="52" s="1"/>
  <c r="EK19" i="51"/>
  <c r="AB6" i="52" s="1"/>
  <c r="EK22" i="51"/>
  <c r="AB9" i="52" s="1"/>
  <c r="EM20" i="51"/>
  <c r="DZ15" i="51"/>
  <c r="DZ16" i="51"/>
  <c r="EM28" i="51" l="1"/>
  <c r="D15" i="52" s="1"/>
  <c r="F15" i="52" s="1"/>
  <c r="AM19" i="59" s="1"/>
  <c r="AN19" i="59" s="1"/>
  <c r="EM31" i="51"/>
  <c r="D18" i="52" s="1"/>
  <c r="F18" i="52" s="1"/>
  <c r="AM22" i="59" s="1"/>
  <c r="AN22" i="59" s="1"/>
  <c r="EM27" i="51"/>
  <c r="D14" i="52" s="1"/>
  <c r="F14" i="52" s="1"/>
  <c r="AM18" i="59" s="1"/>
  <c r="AN18" i="59" s="1"/>
  <c r="EM33" i="51"/>
  <c r="D20" i="52" s="1"/>
  <c r="F20" i="52" s="1"/>
  <c r="AM24" i="59" s="1"/>
  <c r="AN24" i="59" s="1"/>
  <c r="EL22" i="51"/>
  <c r="EM22" i="51"/>
  <c r="D9" i="52" s="1"/>
  <c r="F9" i="52" s="1"/>
  <c r="AM13" i="59" s="1"/>
  <c r="AN13" i="59" s="1"/>
  <c r="EL23" i="51"/>
  <c r="EM23" i="51"/>
  <c r="D10" i="52" s="1"/>
  <c r="F10" i="52" s="1"/>
  <c r="AM14" i="59" s="1"/>
  <c r="AN14" i="59" s="1"/>
  <c r="EL24" i="51"/>
  <c r="EM24" i="51"/>
  <c r="EL25" i="51"/>
  <c r="EM25" i="51"/>
  <c r="EL29" i="51"/>
  <c r="EM29" i="51"/>
  <c r="EL30" i="51"/>
  <c r="EM30" i="51"/>
  <c r="EM19" i="51"/>
  <c r="EL33" i="51"/>
  <c r="EL20" i="51"/>
  <c r="EL26" i="51"/>
  <c r="EL27" i="51"/>
  <c r="EL28" i="51"/>
  <c r="EL31" i="51"/>
  <c r="EL32" i="51"/>
  <c r="AD18" i="52"/>
  <c r="Y22" i="59" s="1"/>
  <c r="Z22" i="59" s="1"/>
  <c r="AD8" i="52"/>
  <c r="Y12" i="59" s="1"/>
  <c r="Z12" i="59" s="1"/>
  <c r="AD12" i="52"/>
  <c r="Y16" i="59" s="1"/>
  <c r="Z16" i="59" s="1"/>
  <c r="AD13" i="52"/>
  <c r="Y17" i="59" s="1"/>
  <c r="Z17" i="59" s="1"/>
  <c r="EQ31" i="51"/>
  <c r="L18" i="52" s="1"/>
  <c r="N18" i="52" s="1"/>
  <c r="AO22" i="59" s="1"/>
  <c r="AP22" i="59" s="1"/>
  <c r="EP27" i="51"/>
  <c r="H14" i="52" s="1"/>
  <c r="J14" i="52" s="1"/>
  <c r="AK18" i="59" s="1"/>
  <c r="AL18" i="59" s="1"/>
  <c r="ES30" i="51"/>
  <c r="T17" i="52" s="1"/>
  <c r="V17" i="52" s="1"/>
  <c r="AH21" i="59" s="1"/>
  <c r="EN26" i="51"/>
  <c r="X13" i="52" s="1"/>
  <c r="EN21" i="51"/>
  <c r="X8" i="52" s="1"/>
  <c r="EQ21" i="51"/>
  <c r="L8" i="52" s="1"/>
  <c r="N8" i="52" s="1"/>
  <c r="AO12" i="59" s="1"/>
  <c r="AP12" i="59" s="1"/>
  <c r="EQ33" i="51"/>
  <c r="L20" i="52" s="1"/>
  <c r="N20" i="52" s="1"/>
  <c r="AO24" i="59" s="1"/>
  <c r="AP24" i="59" s="1"/>
  <c r="EQ29" i="51"/>
  <c r="L16" i="52" s="1"/>
  <c r="N16" i="52" s="1"/>
  <c r="AO20" i="59" s="1"/>
  <c r="AP20" i="59" s="1"/>
  <c r="ER32" i="51"/>
  <c r="P19" i="52" s="1"/>
  <c r="R19" i="52" s="1"/>
  <c r="EN30" i="51"/>
  <c r="X17" i="52" s="1"/>
  <c r="ES26" i="51"/>
  <c r="T13" i="52" s="1"/>
  <c r="V13" i="52" s="1"/>
  <c r="AH17" i="59" s="1"/>
  <c r="AD20" i="52"/>
  <c r="Y24" i="59" s="1"/>
  <c r="Z24" i="59" s="1"/>
  <c r="AD19" i="52"/>
  <c r="Y23" i="59" s="1"/>
  <c r="Z23" i="59" s="1"/>
  <c r="EP20" i="51"/>
  <c r="H7" i="52" s="1"/>
  <c r="D7" i="52"/>
  <c r="F7" i="52" s="1"/>
  <c r="AM11" i="59" s="1"/>
  <c r="AN11" i="59" s="1"/>
  <c r="EN24" i="51"/>
  <c r="X11" i="52" s="1"/>
  <c r="AD14" i="52"/>
  <c r="Y18" i="59" s="1"/>
  <c r="Z18" i="59" s="1"/>
  <c r="ER29" i="51"/>
  <c r="P16" i="52" s="1"/>
  <c r="R16" i="52" s="1"/>
  <c r="EN29" i="51"/>
  <c r="X16" i="52" s="1"/>
  <c r="AD16" i="52"/>
  <c r="Y20" i="59" s="1"/>
  <c r="Z20" i="59" s="1"/>
  <c r="AD17" i="52"/>
  <c r="Y21" i="59" s="1"/>
  <c r="Z21" i="59" s="1"/>
  <c r="EP19" i="51"/>
  <c r="H6" i="52" s="1"/>
  <c r="D13" i="52"/>
  <c r="F13" i="52" s="1"/>
  <c r="AM17" i="59" s="1"/>
  <c r="AN17" i="59" s="1"/>
  <c r="EP29" i="51"/>
  <c r="H16" i="52" s="1"/>
  <c r="J16" i="52" s="1"/>
  <c r="AK20" i="59" s="1"/>
  <c r="AL20" i="59" s="1"/>
  <c r="D19" i="52"/>
  <c r="F19" i="52" s="1"/>
  <c r="AM23" i="59" s="1"/>
  <c r="AN23" i="59" s="1"/>
  <c r="EN31" i="51"/>
  <c r="X18" i="52" s="1"/>
  <c r="AD11" i="52"/>
  <c r="Y15" i="59" s="1"/>
  <c r="Z15" i="59" s="1"/>
  <c r="EN23" i="51"/>
  <c r="X10" i="52" s="1"/>
  <c r="EP23" i="51"/>
  <c r="H10" i="52" s="1"/>
  <c r="J10" i="52" s="1"/>
  <c r="AK14" i="59" s="1"/>
  <c r="AL14" i="59" s="1"/>
  <c r="ES31" i="51"/>
  <c r="T18" i="52" s="1"/>
  <c r="V18" i="52" s="1"/>
  <c r="AH22" i="59" s="1"/>
  <c r="ER31" i="51"/>
  <c r="P18" i="52" s="1"/>
  <c r="R18" i="52" s="1"/>
  <c r="EQ32" i="51"/>
  <c r="L19" i="52" s="1"/>
  <c r="N19" i="52" s="1"/>
  <c r="AO23" i="59" s="1"/>
  <c r="AP23" i="59" s="1"/>
  <c r="EN32" i="51"/>
  <c r="X19" i="52" s="1"/>
  <c r="ES32" i="51"/>
  <c r="T19" i="52" s="1"/>
  <c r="V19" i="52" s="1"/>
  <c r="AH23" i="59" s="1"/>
  <c r="EP25" i="51"/>
  <c r="H12" i="52" s="1"/>
  <c r="J12" i="52" s="1"/>
  <c r="AK16" i="59" s="1"/>
  <c r="AL16" i="59" s="1"/>
  <c r="EP33" i="51"/>
  <c r="H20" i="52" s="1"/>
  <c r="J20" i="52" s="1"/>
  <c r="AK24" i="59" s="1"/>
  <c r="AL24" i="59" s="1"/>
  <c r="ER21" i="51"/>
  <c r="P8" i="52" s="1"/>
  <c r="R8" i="52" s="1"/>
  <c r="ES33" i="51"/>
  <c r="T20" i="52" s="1"/>
  <c r="V20" i="52" s="1"/>
  <c r="AH24" i="59" s="1"/>
  <c r="EP24" i="51"/>
  <c r="H11" i="52" s="1"/>
  <c r="J11" i="52" s="1"/>
  <c r="AK15" i="59" s="1"/>
  <c r="AL15" i="59" s="1"/>
  <c r="ES29" i="51"/>
  <c r="T16" i="52" s="1"/>
  <c r="V16" i="52" s="1"/>
  <c r="AH20" i="59" s="1"/>
  <c r="ER33" i="51"/>
  <c r="P20" i="52" s="1"/>
  <c r="R20" i="52" s="1"/>
  <c r="EP30" i="51"/>
  <c r="H17" i="52" s="1"/>
  <c r="J17" i="52" s="1"/>
  <c r="AK21" i="59" s="1"/>
  <c r="AL21" i="59" s="1"/>
  <c r="EQ23" i="51"/>
  <c r="L10" i="52" s="1"/>
  <c r="N10" i="52" s="1"/>
  <c r="AO14" i="59" s="1"/>
  <c r="AP14" i="59" s="1"/>
  <c r="AD15" i="52"/>
  <c r="Y19" i="59" s="1"/>
  <c r="Z19" i="59" s="1"/>
  <c r="EQ19" i="51"/>
  <c r="L6" i="52" s="1"/>
  <c r="EQ22" i="51"/>
  <c r="L9" i="52" s="1"/>
  <c r="N9" i="52" s="1"/>
  <c r="AO13" i="59" s="1"/>
  <c r="AP13" i="59" s="1"/>
  <c r="EN19" i="51"/>
  <c r="X6" i="52" s="1"/>
  <c r="EQ27" i="51"/>
  <c r="L14" i="52" s="1"/>
  <c r="N14" i="52" s="1"/>
  <c r="AO18" i="59" s="1"/>
  <c r="AP18" i="59" s="1"/>
  <c r="EP28" i="51"/>
  <c r="H15" i="52" s="1"/>
  <c r="J15" i="52" s="1"/>
  <c r="AK19" i="59" s="1"/>
  <c r="AL19" i="59" s="1"/>
  <c r="EN27" i="51"/>
  <c r="X14" i="52" s="1"/>
  <c r="ES20" i="51"/>
  <c r="T7" i="52" s="1"/>
  <c r="AD7" i="52"/>
  <c r="Y11" i="59" s="1"/>
  <c r="Z11" i="59" s="1"/>
  <c r="ES19" i="51"/>
  <c r="T6" i="52" s="1"/>
  <c r="ER19" i="51"/>
  <c r="P6" i="52" s="1"/>
  <c r="ER20" i="51"/>
  <c r="P7" i="52" s="1"/>
  <c r="EQ20" i="51"/>
  <c r="L7" i="52" s="1"/>
  <c r="ES21" i="51"/>
  <c r="T8" i="52" s="1"/>
  <c r="V8" i="52" s="1"/>
  <c r="AH12" i="59" s="1"/>
  <c r="ES25" i="51"/>
  <c r="T12" i="52" s="1"/>
  <c r="V12" i="52" s="1"/>
  <c r="AH16" i="59" s="1"/>
  <c r="ER23" i="51"/>
  <c r="P10" i="52" s="1"/>
  <c r="R10" i="52" s="1"/>
  <c r="EN25" i="51"/>
  <c r="X12" i="52" s="1"/>
  <c r="ER25" i="51"/>
  <c r="P12" i="52" s="1"/>
  <c r="R12" i="52" s="1"/>
  <c r="ES27" i="51"/>
  <c r="T14" i="52" s="1"/>
  <c r="V14" i="52" s="1"/>
  <c r="AH18" i="59" s="1"/>
  <c r="ER22" i="51"/>
  <c r="P9" i="52" s="1"/>
  <c r="R9" i="52" s="1"/>
  <c r="AD10" i="52"/>
  <c r="Y14" i="59" s="1"/>
  <c r="Z14" i="59" s="1"/>
  <c r="ER30" i="51"/>
  <c r="P17" i="52" s="1"/>
  <c r="R17" i="52" s="1"/>
  <c r="EP21" i="51"/>
  <c r="H8" i="52" s="1"/>
  <c r="J8" i="52" s="1"/>
  <c r="AK12" i="59" s="1"/>
  <c r="AL12" i="59" s="1"/>
  <c r="EQ25" i="51"/>
  <c r="L12" i="52" s="1"/>
  <c r="N12" i="52" s="1"/>
  <c r="AO16" i="59" s="1"/>
  <c r="AP16" i="59" s="1"/>
  <c r="AD9" i="52"/>
  <c r="Y13" i="59" s="1"/>
  <c r="Z13" i="59" s="1"/>
  <c r="EN22" i="51"/>
  <c r="X9" i="52" s="1"/>
  <c r="EP22" i="51"/>
  <c r="H9" i="52" s="1"/>
  <c r="J9" i="52" s="1"/>
  <c r="AK13" i="59" s="1"/>
  <c r="AL13" i="59" s="1"/>
  <c r="ER27" i="51"/>
  <c r="P14" i="52" s="1"/>
  <c r="R14" i="52" s="1"/>
  <c r="ES24" i="51"/>
  <c r="T11" i="52" s="1"/>
  <c r="V11" i="52" s="1"/>
  <c r="AH15" i="59" s="1"/>
  <c r="ES28" i="51"/>
  <c r="T15" i="52" s="1"/>
  <c r="V15" i="52" s="1"/>
  <c r="AH19" i="59" s="1"/>
  <c r="ES23" i="51"/>
  <c r="T10" i="52" s="1"/>
  <c r="V10" i="52" s="1"/>
  <c r="AH14" i="59" s="1"/>
  <c r="EQ28" i="51"/>
  <c r="L15" i="52" s="1"/>
  <c r="N15" i="52" s="1"/>
  <c r="AO19" i="59" s="1"/>
  <c r="AP19" i="59" s="1"/>
  <c r="ER28" i="51"/>
  <c r="P15" i="52" s="1"/>
  <c r="R15" i="52" s="1"/>
  <c r="EN20" i="51"/>
  <c r="X7" i="52" s="1"/>
  <c r="AD6" i="52"/>
  <c r="Y10" i="59" s="1"/>
  <c r="Z10" i="59" s="1"/>
  <c r="EP26" i="51"/>
  <c r="H13" i="52" s="1"/>
  <c r="J13" i="52" s="1"/>
  <c r="AK17" i="59" s="1"/>
  <c r="AL17" i="59" s="1"/>
  <c r="EN28" i="51"/>
  <c r="X15" i="52" s="1"/>
  <c r="EQ26" i="51"/>
  <c r="L13" i="52" s="1"/>
  <c r="N13" i="52" s="1"/>
  <c r="AO17" i="59" s="1"/>
  <c r="AP17" i="59" s="1"/>
  <c r="EP31" i="51"/>
  <c r="H18" i="52" s="1"/>
  <c r="J18" i="52" s="1"/>
  <c r="AK22" i="59" s="1"/>
  <c r="AL22" i="59" s="1"/>
  <c r="ER26" i="51"/>
  <c r="P13" i="52" s="1"/>
  <c r="R13" i="52" s="1"/>
  <c r="EN33" i="51"/>
  <c r="X20" i="52" s="1"/>
  <c r="EQ30" i="51"/>
  <c r="L17" i="52" s="1"/>
  <c r="N17" i="52" s="1"/>
  <c r="AO21" i="59" s="1"/>
  <c r="AP21" i="59" s="1"/>
  <c r="ER24" i="51"/>
  <c r="P11" i="52" s="1"/>
  <c r="R11" i="52" s="1"/>
  <c r="EQ24" i="51"/>
  <c r="L11" i="52" s="1"/>
  <c r="N11" i="52" s="1"/>
  <c r="AO15" i="59" s="1"/>
  <c r="AP15" i="59" s="1"/>
  <c r="EP32" i="51"/>
  <c r="H19" i="52" s="1"/>
  <c r="J19" i="52" s="1"/>
  <c r="AK23" i="59" s="1"/>
  <c r="AL23" i="59" s="1"/>
  <c r="ES22" i="51"/>
  <c r="T9" i="52" s="1"/>
  <c r="V9" i="52" s="1"/>
  <c r="AH13" i="59" s="1"/>
  <c r="D11" i="52" l="1"/>
  <c r="F11" i="52" s="1"/>
  <c r="AM15" i="59" s="1"/>
  <c r="AN15" i="59" s="1"/>
  <c r="D17" i="52"/>
  <c r="F17" i="52" s="1"/>
  <c r="AM21" i="59" s="1"/>
  <c r="AN21" i="59" s="1"/>
  <c r="D16" i="52"/>
  <c r="F16" i="52" s="1"/>
  <c r="AM20" i="59" s="1"/>
  <c r="AN20" i="59" s="1"/>
  <c r="D12" i="52"/>
  <c r="F12" i="52" s="1"/>
  <c r="AM16" i="59" s="1"/>
  <c r="AN16" i="59" s="1"/>
  <c r="D8" i="52"/>
  <c r="F8" i="52" s="1"/>
  <c r="AM12" i="59" s="1"/>
  <c r="AN12" i="59" s="1"/>
  <c r="D6" i="52"/>
  <c r="F6" i="52" s="1"/>
  <c r="AM10" i="59" s="1"/>
  <c r="AN10" i="59" s="1"/>
  <c r="EO21" i="51"/>
  <c r="AF8" i="52" s="1"/>
  <c r="AH8" i="52" s="1"/>
  <c r="U12" i="59" s="1"/>
  <c r="Z8" i="52"/>
  <c r="W12" i="59" s="1"/>
  <c r="X12" i="59" s="1"/>
  <c r="Z13" i="52"/>
  <c r="W17" i="59" s="1"/>
  <c r="X17" i="59" s="1"/>
  <c r="EO26" i="51"/>
  <c r="AF13" i="52" s="1"/>
  <c r="AH13" i="52" s="1"/>
  <c r="U17" i="59" s="1"/>
  <c r="EO19" i="51"/>
  <c r="AF6" i="52" s="1"/>
  <c r="EO31" i="51"/>
  <c r="AF18" i="52" s="1"/>
  <c r="AH18" i="52" s="1"/>
  <c r="U22" i="59" s="1"/>
  <c r="Z18" i="52"/>
  <c r="W22" i="59" s="1"/>
  <c r="X22" i="59" s="1"/>
  <c r="EO30" i="51"/>
  <c r="AF17" i="52" s="1"/>
  <c r="AH17" i="52" s="1"/>
  <c r="U21" i="59" s="1"/>
  <c r="Z17" i="52"/>
  <c r="W21" i="59" s="1"/>
  <c r="X21" i="59" s="1"/>
  <c r="EO24" i="51"/>
  <c r="AF11" i="52" s="1"/>
  <c r="AH11" i="52" s="1"/>
  <c r="U15" i="59" s="1"/>
  <c r="Z11" i="52"/>
  <c r="W15" i="59" s="1"/>
  <c r="X15" i="59" s="1"/>
  <c r="Z16" i="52"/>
  <c r="W20" i="59" s="1"/>
  <c r="X20" i="59" s="1"/>
  <c r="EO29" i="51"/>
  <c r="AF16" i="52" s="1"/>
  <c r="AH16" i="52" s="1"/>
  <c r="U20" i="59" s="1"/>
  <c r="Z10" i="52"/>
  <c r="W14" i="59" s="1"/>
  <c r="X14" i="59" s="1"/>
  <c r="EO23" i="51"/>
  <c r="AF10" i="52" s="1"/>
  <c r="AH10" i="52" s="1"/>
  <c r="U14" i="59" s="1"/>
  <c r="EO32" i="51"/>
  <c r="AF19" i="52" s="1"/>
  <c r="AH19" i="52" s="1"/>
  <c r="U23" i="59" s="1"/>
  <c r="Z19" i="52"/>
  <c r="W23" i="59" s="1"/>
  <c r="X23" i="59" s="1"/>
  <c r="Z14" i="52"/>
  <c r="W18" i="59" s="1"/>
  <c r="X18" i="59" s="1"/>
  <c r="EO27" i="51"/>
  <c r="AF14" i="52" s="1"/>
  <c r="AH14" i="52" s="1"/>
  <c r="U18" i="59" s="1"/>
  <c r="EO25" i="51"/>
  <c r="AF12" i="52" s="1"/>
  <c r="AH12" i="52" s="1"/>
  <c r="U16" i="59" s="1"/>
  <c r="Z12" i="52"/>
  <c r="W16" i="59" s="1"/>
  <c r="X16" i="59" s="1"/>
  <c r="Z9" i="52"/>
  <c r="W13" i="59" s="1"/>
  <c r="X13" i="59" s="1"/>
  <c r="EO22" i="51"/>
  <c r="AF9" i="52" s="1"/>
  <c r="AH9" i="52" s="1"/>
  <c r="U13" i="59" s="1"/>
  <c r="EO20" i="51"/>
  <c r="AF7" i="52" s="1"/>
  <c r="Z15" i="52"/>
  <c r="W19" i="59" s="1"/>
  <c r="X19" i="59" s="1"/>
  <c r="EO28" i="51"/>
  <c r="AF15" i="52" s="1"/>
  <c r="AH15" i="52" s="1"/>
  <c r="U19" i="59" s="1"/>
  <c r="Z20" i="52"/>
  <c r="W24" i="59" s="1"/>
  <c r="X24" i="59" s="1"/>
  <c r="EO33" i="51"/>
  <c r="AF20" i="52" s="1"/>
  <c r="AH20" i="52" s="1"/>
  <c r="U24" i="59" s="1"/>
  <c r="Y25" i="59"/>
  <c r="Z25" i="59"/>
  <c r="N7" i="52"/>
  <c r="AO11" i="59" s="1"/>
  <c r="AP11" i="59" s="1"/>
  <c r="V7" i="52"/>
  <c r="AH11" i="59" s="1"/>
  <c r="J7" i="52"/>
  <c r="AK11" i="59" s="1"/>
  <c r="AL11" i="59" s="1"/>
  <c r="R7" i="52"/>
  <c r="J6" i="52"/>
  <c r="AK10" i="59" s="1"/>
  <c r="R6" i="52"/>
  <c r="N6" i="52"/>
  <c r="AO10" i="59" s="1"/>
  <c r="V6" i="52"/>
  <c r="AH10" i="59" s="1"/>
  <c r="AM25" i="59" l="1"/>
  <c r="AN25" i="59"/>
  <c r="AR12" i="59"/>
  <c r="AJ12" i="59"/>
  <c r="AY12" i="59" s="1"/>
  <c r="AJ18" i="59"/>
  <c r="AR18" i="59"/>
  <c r="AJ23" i="59"/>
  <c r="AJ17" i="59"/>
  <c r="AR17" i="59"/>
  <c r="AJ16" i="59"/>
  <c r="AR16" i="59"/>
  <c r="AJ13" i="59"/>
  <c r="AR13" i="59"/>
  <c r="AJ14" i="59"/>
  <c r="AR14" i="59"/>
  <c r="AR23" i="59"/>
  <c r="AJ22" i="59"/>
  <c r="AR22" i="59"/>
  <c r="AR21" i="59"/>
  <c r="AJ21" i="59"/>
  <c r="AV21" i="59" s="1"/>
  <c r="AR15" i="59"/>
  <c r="AJ15" i="59"/>
  <c r="AR20" i="59"/>
  <c r="AJ20" i="59"/>
  <c r="AR24" i="59"/>
  <c r="AJ24" i="59"/>
  <c r="AR19" i="59"/>
  <c r="AJ19" i="59"/>
  <c r="AH7" i="52"/>
  <c r="U11" i="59" s="1"/>
  <c r="Z7" i="52"/>
  <c r="W11" i="59" s="1"/>
  <c r="X11" i="59" s="1"/>
  <c r="AH25" i="59"/>
  <c r="AP10" i="59"/>
  <c r="AP25" i="59" s="1"/>
  <c r="AO25" i="59"/>
  <c r="AK25" i="59"/>
  <c r="AL10" i="59"/>
  <c r="AL25" i="59" s="1"/>
  <c r="AH6" i="52"/>
  <c r="U10" i="59" s="1"/>
  <c r="Z6" i="52"/>
  <c r="W10" i="59" s="1"/>
  <c r="AV18" i="59" l="1"/>
  <c r="BE14" i="59"/>
  <c r="BE23" i="59"/>
  <c r="AW23" i="59"/>
  <c r="AY14" i="59"/>
  <c r="BD14" i="59"/>
  <c r="AX14" i="59"/>
  <c r="AW12" i="59"/>
  <c r="AX12" i="59"/>
  <c r="BE12" i="59"/>
  <c r="AW13" i="59"/>
  <c r="AY13" i="59"/>
  <c r="BD13" i="59"/>
  <c r="AX13" i="59"/>
  <c r="AX17" i="59"/>
  <c r="AX16" i="59"/>
  <c r="BD12" i="59"/>
  <c r="BD17" i="59"/>
  <c r="AY17" i="59"/>
  <c r="AW17" i="59"/>
  <c r="AW16" i="59"/>
  <c r="AY16" i="59"/>
  <c r="BD16" i="59"/>
  <c r="BD23" i="59"/>
  <c r="BE18" i="59"/>
  <c r="BD18" i="59"/>
  <c r="AY18" i="59"/>
  <c r="AZ18" i="59" s="1"/>
  <c r="AX23" i="59"/>
  <c r="AY23" i="59"/>
  <c r="AW22" i="59"/>
  <c r="AY22" i="59"/>
  <c r="BD22" i="59"/>
  <c r="AX22" i="59"/>
  <c r="AY21" i="59"/>
  <c r="AZ21" i="59" s="1"/>
  <c r="BD21" i="59"/>
  <c r="AJ11" i="59"/>
  <c r="AR11" i="59"/>
  <c r="BD15" i="59"/>
  <c r="AW15" i="59"/>
  <c r="AY15" i="59"/>
  <c r="AX15" i="59"/>
  <c r="AX20" i="59"/>
  <c r="BE20" i="59"/>
  <c r="AY20" i="59"/>
  <c r="AW20" i="59"/>
  <c r="BD20" i="59"/>
  <c r="AX19" i="59"/>
  <c r="BD19" i="59"/>
  <c r="AW19" i="59"/>
  <c r="AY19" i="59"/>
  <c r="BE19" i="59"/>
  <c r="AW24" i="59"/>
  <c r="BE24" i="59"/>
  <c r="BD24" i="59"/>
  <c r="AX24" i="59"/>
  <c r="AY24" i="59"/>
  <c r="W25" i="59"/>
  <c r="X10" i="59"/>
  <c r="X25" i="59" s="1"/>
  <c r="AJ10" i="59"/>
  <c r="AR10" i="59"/>
  <c r="U25" i="59"/>
  <c r="AV25" i="59" l="1"/>
  <c r="AZ23" i="59"/>
  <c r="BA23" i="59" s="1"/>
  <c r="BC23" i="59" s="1"/>
  <c r="BJ23" i="59" s="1"/>
  <c r="AZ15" i="59"/>
  <c r="BA15" i="59" s="1"/>
  <c r="BC15" i="59" s="1"/>
  <c r="BA18" i="59"/>
  <c r="BC18" i="59" s="1"/>
  <c r="BJ18" i="59" s="1"/>
  <c r="AZ14" i="59"/>
  <c r="BA14" i="59" s="1"/>
  <c r="BC14" i="59" s="1"/>
  <c r="BJ14" i="59" s="1"/>
  <c r="AZ12" i="59"/>
  <c r="BA12" i="59" s="1"/>
  <c r="BC12" i="59" s="1"/>
  <c r="BJ12" i="59" s="1"/>
  <c r="AZ13" i="59"/>
  <c r="BA13" i="59" s="1"/>
  <c r="BC13" i="59" s="1"/>
  <c r="BJ13" i="59" s="1"/>
  <c r="AZ16" i="59"/>
  <c r="BA16" i="59" s="1"/>
  <c r="BC16" i="59" s="1"/>
  <c r="BJ16" i="59" s="1"/>
  <c r="AZ17" i="59"/>
  <c r="BA17" i="59" s="1"/>
  <c r="BC17" i="59" s="1"/>
  <c r="BJ17" i="59" s="1"/>
  <c r="BD11" i="59"/>
  <c r="BE11" i="59"/>
  <c r="AY11" i="59"/>
  <c r="AR25" i="59"/>
  <c r="AX11" i="59"/>
  <c r="AW11" i="59"/>
  <c r="AZ20" i="59"/>
  <c r="BA20" i="59" s="1"/>
  <c r="BC20" i="59" s="1"/>
  <c r="BJ20" i="59" s="1"/>
  <c r="AZ22" i="59"/>
  <c r="BA22" i="59" s="1"/>
  <c r="BC22" i="59" s="1"/>
  <c r="BJ22" i="59" s="1"/>
  <c r="BA21" i="59"/>
  <c r="BC21" i="59" s="1"/>
  <c r="BJ21" i="59" s="1"/>
  <c r="AZ19" i="59"/>
  <c r="BA19" i="59" s="1"/>
  <c r="BC19" i="59" s="1"/>
  <c r="BJ19" i="59" s="1"/>
  <c r="AZ24" i="59"/>
  <c r="BA24" i="59" s="1"/>
  <c r="BC24" i="59" s="1"/>
  <c r="BJ24" i="59" s="1"/>
  <c r="BE10" i="59"/>
  <c r="BD10" i="59"/>
  <c r="AY10" i="59"/>
  <c r="AX10" i="59"/>
  <c r="AW10" i="59"/>
  <c r="AJ25" i="59"/>
  <c r="BJ15" i="59" l="1"/>
  <c r="BD25" i="59"/>
  <c r="BE25" i="59"/>
  <c r="AZ11" i="59"/>
  <c r="BA11" i="59" s="1"/>
  <c r="BC11" i="59" s="1"/>
  <c r="BJ11" i="59" s="1"/>
  <c r="AY25" i="59"/>
  <c r="AW25" i="59"/>
  <c r="AZ10" i="59"/>
  <c r="AX25" i="59"/>
  <c r="BA10" i="59" l="1"/>
  <c r="AZ25" i="59"/>
  <c r="BA25" i="59" l="1"/>
  <c r="BC10" i="59"/>
  <c r="BC25" i="59" l="1"/>
  <c r="BJ10" i="59"/>
  <c r="BJ25" i="5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JETS</author>
  </authors>
  <commentList>
    <comment ref="G5" authorId="0" shapeId="0" xr:uid="{00000000-0006-0000-0100-000001000000}">
      <text>
        <r>
          <rPr>
            <b/>
            <sz val="9"/>
            <rFont val="Tahoma"/>
            <family val="2"/>
          </rPr>
          <t>Peru Trabajo:</t>
        </r>
        <r>
          <rPr>
            <sz val="9"/>
            <rFont val="Tahoma"/>
            <family val="2"/>
          </rPr>
          <t xml:space="preserve">
Colocar el monto aproximado de ingresos anuales: pago mensual, bonos extraordinarios, gratificaciones, utilidades, asignaciones familiares. Etc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  <author>Angelica Severiche</author>
    <author>Administrador de Servidor</author>
  </authors>
  <commentList>
    <comment ref="BJ7" authorId="0" shapeId="0" xr:uid="{00000000-0006-0000-0300-000001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</t>
        </r>
      </text>
    </comment>
    <comment ref="BG8" authorId="1" shapeId="0" xr:uid="{00000000-0006-0000-0300-000002000000}">
      <text>
        <r>
          <rPr>
            <b/>
            <sz val="9"/>
            <rFont val="Tahoma"/>
            <family val="2"/>
          </rPr>
          <t>Angelica Severiche:</t>
        </r>
        <r>
          <rPr>
            <sz val="9"/>
            <rFont val="Tahoma"/>
            <family val="2"/>
          </rPr>
          <t xml:space="preserve">
POLIZA MAPFRE FACT 31/07/20 F148-1558 
VIGENCIA DESDE :
01/08/20 AL 01/08/21 PRIMA TOTAL S/1018.33+IGV=S/1201.63</t>
        </r>
      </text>
    </comment>
    <comment ref="P12" authorId="2" shapeId="0" xr:uid="{00000000-0006-0000-0300-000003000000}">
      <text>
        <r>
          <rPr>
            <b/>
            <sz val="9"/>
            <rFont val="Tahoma"/>
            <family val="2"/>
          </rPr>
          <t>Administrador de Servidor:</t>
        </r>
        <r>
          <rPr>
            <sz val="9"/>
            <rFont val="Tahoma"/>
            <family val="2"/>
          </rPr>
          <t xml:space="preserve">
incremento a s/2000
</t>
        </r>
      </text>
    </comment>
    <comment ref="R13" authorId="0" shapeId="0" xr:uid="{00000000-0006-0000-0300-000004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SE LE AUMENTA 300.00 APARTIR DE 01.01.25
</t>
        </r>
      </text>
    </comment>
    <comment ref="P15" authorId="2" shapeId="0" xr:uid="{00000000-0006-0000-0300-000005000000}">
      <text>
        <r>
          <rPr>
            <b/>
            <sz val="9"/>
            <rFont val="Tahoma"/>
            <family val="2"/>
          </rPr>
          <t>Administrador de Servidor:</t>
        </r>
        <r>
          <rPr>
            <sz val="9"/>
            <rFont val="Tahoma"/>
            <family val="2"/>
          </rPr>
          <t xml:space="preserve">
AUMENTO 01.08.22 1400 A 2000, paso movilidad a basico</t>
        </r>
      </text>
    </comment>
    <comment ref="P17" authorId="0" shapeId="0" xr:uid="{00000000-0006-0000-0300-000006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aumento de 175 soles en el basico y 300 en movilidad, autorizado Sr. Andres</t>
        </r>
      </text>
    </comment>
    <comment ref="R18" authorId="2" shapeId="0" xr:uid="{00000000-0006-0000-0300-000007000000}">
      <text>
        <r>
          <rPr>
            <b/>
            <sz val="9"/>
            <rFont val="Tahoma"/>
            <family val="2"/>
          </rPr>
          <t>Administrador de Servidor:</t>
        </r>
        <r>
          <rPr>
            <sz val="9"/>
            <rFont val="Tahoma"/>
            <family val="2"/>
          </rPr>
          <t xml:space="preserve">
SUBIO 200 DESDE EL 01.01.26
</t>
        </r>
      </text>
    </comment>
    <comment ref="BH18" authorId="0" shapeId="0" xr:uid="{28F9436D-C6DB-4152-958E-3F53EE2C8035}">
      <text>
        <r>
          <rPr>
            <b/>
            <sz val="9"/>
            <color indexed="81"/>
            <rFont val="Tahoma"/>
            <charset val="1"/>
          </rPr>
          <t>USUARIO:</t>
        </r>
        <r>
          <rPr>
            <sz val="9"/>
            <color indexed="81"/>
            <rFont val="Tahoma"/>
            <charset val="1"/>
          </rPr>
          <t xml:space="preserve">
PRIMER DESCUENTO DEL SU PRESTAMO</t>
        </r>
      </text>
    </comment>
    <comment ref="R19" authorId="0" shapeId="0" xr:uid="{00000000-0006-0000-0300-000008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SE SOBIO A 3000 POR INDICACION DE EDGAR</t>
        </r>
      </text>
    </comment>
    <comment ref="R20" authorId="0" shapeId="0" xr:uid="{00000000-0006-0000-0300-000009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Aumento Sr. Andres desde 15.03.2025</t>
        </r>
      </text>
    </comment>
    <comment ref="P24" authorId="2" shapeId="0" xr:uid="{00000000-0006-0000-0300-00000A000000}">
      <text>
        <r>
          <rPr>
            <b/>
            <sz val="9"/>
            <rFont val="Tahoma"/>
            <family val="2"/>
          </rPr>
          <t>Administrador de Servidor:</t>
        </r>
        <r>
          <rPr>
            <sz val="9"/>
            <rFont val="Tahoma"/>
            <family val="2"/>
          </rPr>
          <t xml:space="preserve">
AUMENTO EN MAYO</t>
        </r>
      </text>
    </comment>
    <comment ref="R24" authorId="0" shapeId="0" xr:uid="{00000000-0006-0000-0300-00000B000000}">
      <text>
        <r>
          <rPr>
            <b/>
            <sz val="9"/>
            <rFont val="Tahoma"/>
            <family val="2"/>
          </rPr>
          <t>USUARIO:</t>
        </r>
        <r>
          <rPr>
            <sz val="9"/>
            <rFont val="Tahoma"/>
            <family val="2"/>
          </rPr>
          <t xml:space="preserve">
Aumento a partir 2da quincena marzo 2025</t>
        </r>
      </text>
    </comment>
  </commentList>
</comments>
</file>

<file path=xl/sharedStrings.xml><?xml version="1.0" encoding="utf-8"?>
<sst xmlns="http://schemas.openxmlformats.org/spreadsheetml/2006/main" count="728" uniqueCount="265">
  <si>
    <t>PROFUTURO</t>
  </si>
  <si>
    <t>PRIMA</t>
  </si>
  <si>
    <t>INTEGRA</t>
  </si>
  <si>
    <t>INTEGRA SUELDO</t>
  </si>
  <si>
    <t>NO</t>
  </si>
  <si>
    <t>EMPLEADO</t>
  </si>
  <si>
    <t>FEMENINO</t>
  </si>
  <si>
    <t>ONP</t>
  </si>
  <si>
    <t>MASCULINO</t>
  </si>
  <si>
    <t>CONTADORA</t>
  </si>
  <si>
    <t>CONTABILIDAD</t>
  </si>
  <si>
    <t>SI</t>
  </si>
  <si>
    <t>INDETERMINADO</t>
  </si>
  <si>
    <t>40247925</t>
  </si>
  <si>
    <t>SEVERICHE CARLOS ANGELICA JESUS</t>
  </si>
  <si>
    <t>DOBLADOR</t>
  </si>
  <si>
    <t>CORTE DOBLEZ</t>
  </si>
  <si>
    <t>252821FSMCD6</t>
  </si>
  <si>
    <t>OBRERO</t>
  </si>
  <si>
    <t>SANCHEZ MUEDAS FIDEL</t>
  </si>
  <si>
    <t>PROFUTURO SUELDO</t>
  </si>
  <si>
    <t>ARMADOR</t>
  </si>
  <si>
    <t>ESTRUCTURA</t>
  </si>
  <si>
    <t>PEÑALOZA CAMPOS, FRANK KEVHIN</t>
  </si>
  <si>
    <t>MONTENEGRO OBLITAS GROVER MANUEL</t>
  </si>
  <si>
    <t>PROFUTURO MIXTA</t>
  </si>
  <si>
    <t>ASISTENTE DE VENTAS</t>
  </si>
  <si>
    <t>VENTAS</t>
  </si>
  <si>
    <t>596910NMSCC9</t>
  </si>
  <si>
    <t>MERCADO SANCHEZ NORMA AURELIA</t>
  </si>
  <si>
    <t>JEFA DE LOGISTICA</t>
  </si>
  <si>
    <t>LOGISTICA</t>
  </si>
  <si>
    <t>603170LHMAA7</t>
  </si>
  <si>
    <t>HIDALGO MOYA, LIZBETH SONIA</t>
  </si>
  <si>
    <t>PRIMA SUELDO</t>
  </si>
  <si>
    <t>TORNERO</t>
  </si>
  <si>
    <t>AUTOPARTES</t>
  </si>
  <si>
    <t>224091RCAIN8</t>
  </si>
  <si>
    <t>CORI ADAN RUTBEL</t>
  </si>
  <si>
    <t>VACACIONES</t>
  </si>
  <si>
    <t>SUPERVISOR DE PRODUCCION</t>
  </si>
  <si>
    <t>PRODUCCION</t>
  </si>
  <si>
    <t>583201ECSNA0</t>
  </si>
  <si>
    <t>CISNEROS SUMA, EDGAR</t>
  </si>
  <si>
    <t>DL 688</t>
  </si>
  <si>
    <t>COMISION</t>
  </si>
  <si>
    <t>SVL</t>
  </si>
  <si>
    <t>SCTR</t>
  </si>
  <si>
    <t>ESSALUD</t>
  </si>
  <si>
    <t>RTA. 
5TA
CATEG</t>
  </si>
  <si>
    <t xml:space="preserve">
DSCTO
AFP</t>
  </si>
  <si>
    <t>AFP PRIMA</t>
  </si>
  <si>
    <t>SISTEMA DE
PENSIONES</t>
  </si>
  <si>
    <t>LIQ VACACIONES</t>
  </si>
  <si>
    <t>SUBSIDIO</t>
  </si>
  <si>
    <t>LICENCIA</t>
  </si>
  <si>
    <t>DM</t>
  </si>
  <si>
    <t>TOTAL MENSUAL</t>
  </si>
  <si>
    <t>ASIG FAM</t>
  </si>
  <si>
    <t>SUELDO
BASICO</t>
  </si>
  <si>
    <t>CARGO</t>
  </si>
  <si>
    <t>AREA</t>
  </si>
  <si>
    <t>COD AFP</t>
  </si>
  <si>
    <t>SENATI</t>
  </si>
  <si>
    <t xml:space="preserve">CATEGORIA OCUPACIONAL </t>
  </si>
  <si>
    <t>TIPO DE CONTRATO</t>
  </si>
  <si>
    <t xml:space="preserve">GENERO </t>
  </si>
  <si>
    <t>FECHA
DE CESE</t>
  </si>
  <si>
    <t>FECHA
INGRESO</t>
  </si>
  <si>
    <t>DNI</t>
  </si>
  <si>
    <t>FECHA DE
NACIM.</t>
  </si>
  <si>
    <t>APELLIDO Y NOMBRES</t>
  </si>
  <si>
    <t>ITEM</t>
  </si>
  <si>
    <t>DE 35 A 45  UIT</t>
  </si>
  <si>
    <t>DE 20 A 35 UIT</t>
  </si>
  <si>
    <t>DIAS LABORADOS</t>
  </si>
  <si>
    <t>COLECTORA</t>
  </si>
  <si>
    <t>DE 5  A 20 UIT</t>
  </si>
  <si>
    <t>HASTA 5 UIT</t>
  </si>
  <si>
    <t>CESADOS</t>
  </si>
  <si>
    <t>LEYENDA</t>
  </si>
  <si>
    <t>AFP</t>
  </si>
  <si>
    <t>GRAT</t>
  </si>
  <si>
    <t>COMISIÓN MIXTA (5)</t>
  </si>
  <si>
    <t>% DCTO POR REMUNER</t>
  </si>
  <si>
    <t>APORTE FONDO DE PENSIONES</t>
  </si>
  <si>
    <t>PRIMA DE SEGURO (4)</t>
  </si>
  <si>
    <t>COMISION SOBRE REMUNERACIÓN MENSUAL</t>
  </si>
  <si>
    <t>COMISION SOBRE REMUNERACIÓN FLUJO(% remuneración bruta mensual)</t>
  </si>
  <si>
    <t>COMISION ANUAL SOBRE SALDO (3)</t>
  </si>
  <si>
    <t>% DCTO POR COMISIÓN MIXTA</t>
  </si>
  <si>
    <t>% DCTO POR SALDO</t>
  </si>
  <si>
    <t>REG NORMAL</t>
  </si>
  <si>
    <t>INT</t>
  </si>
  <si>
    <t>PRI</t>
  </si>
  <si>
    <t>PRO</t>
  </si>
  <si>
    <t>oct - dic 2022}</t>
  </si>
  <si>
    <t>HAB</t>
  </si>
  <si>
    <t>Monto limite gtos. Sepelio</t>
  </si>
  <si>
    <t>ASIGNACIÓN FAMILIAR</t>
  </si>
  <si>
    <t>RMV</t>
  </si>
  <si>
    <t>%</t>
  </si>
  <si>
    <t>TOTAL</t>
  </si>
  <si>
    <t>https://www.sbs.gob.pe/app/spp/empleadores/comisiones_spp/Paginas/comision_prima.aspx</t>
  </si>
  <si>
    <t>Al mes de devengue 2020/06</t>
  </si>
  <si>
    <t xml:space="preserve">ONP </t>
  </si>
  <si>
    <t>COMISION 
MIXTA</t>
  </si>
  <si>
    <t>PRIMA
SEGURO</t>
  </si>
  <si>
    <t>APORTE OBLIGATORIO</t>
  </si>
  <si>
    <t>COMISION
SOBRE  LA REMUNERACION
(FLUJO )</t>
  </si>
  <si>
    <t>COMISION ANUAL
SOBRE
SALDO</t>
  </si>
  <si>
    <t>HABITAT MIXTA</t>
  </si>
  <si>
    <t>INTEGRA MIXTA</t>
  </si>
  <si>
    <t>PRIMA MIXTA</t>
  </si>
  <si>
    <t>COMISIÓN</t>
  </si>
  <si>
    <t>APORTE OBLIGATORIO AL FONDO DE PENSIONES</t>
  </si>
  <si>
    <t>REMUNERACIÓN MÁXIMA ASEGURABLE</t>
  </si>
  <si>
    <t>SOBRE FLUJO</t>
  </si>
  <si>
    <t>(% Remuneración Bruta Mensual)</t>
  </si>
  <si>
    <t>ANUAL SOBRE</t>
  </si>
  <si>
    <t>HABITAT</t>
  </si>
  <si>
    <t>HABITAT SUELDO</t>
  </si>
  <si>
    <t>ALMACENERO</t>
  </si>
  <si>
    <t>ZACARIAS CORONEL MIGUEL ANGEL</t>
  </si>
  <si>
    <t>COM</t>
  </si>
  <si>
    <t>13/03/1969</t>
  </si>
  <si>
    <t>LAGOS HUAMANI NIDIA</t>
  </si>
  <si>
    <t>AUXILIAR</t>
  </si>
  <si>
    <t>651120NLHOM8</t>
  </si>
  <si>
    <t>REFRIGERIO</t>
  </si>
  <si>
    <t>SABADO</t>
  </si>
  <si>
    <t>N°</t>
  </si>
  <si>
    <t>TARDANZAS</t>
  </si>
  <si>
    <t xml:space="preserve">GERENTE </t>
  </si>
  <si>
    <t>VASQUEZ CUNYAS, JOSE EDGAR</t>
  </si>
  <si>
    <t>CANT</t>
  </si>
  <si>
    <t>MONTO</t>
  </si>
  <si>
    <t>LICENCIA HIJO ENFERMO</t>
  </si>
  <si>
    <t>DESCUENTO</t>
  </si>
  <si>
    <t>HR. ENTRADA</t>
  </si>
  <si>
    <t>HR. SALIDA</t>
  </si>
  <si>
    <t>HRS. LAB.</t>
  </si>
  <si>
    <t>FERIADOS Y DOMINGOS</t>
  </si>
  <si>
    <t>FALTA</t>
  </si>
  <si>
    <t>TARDANZA (MIN.)</t>
  </si>
  <si>
    <t>APELLIDO, NOMBRE</t>
  </si>
  <si>
    <t>TURNO</t>
  </si>
  <si>
    <t>SI FALTÓ</t>
  </si>
  <si>
    <t>SI ESTÁ DE LICENCIA</t>
  </si>
  <si>
    <t>SI TRABAJÓ UN FERIADO</t>
  </si>
  <si>
    <t>SI ESTÁ DE VACACIONES</t>
  </si>
  <si>
    <t>SI TRABAJÓ UN DOMINGO</t>
  </si>
  <si>
    <t>SI TRABAJÓ UN SABADO</t>
  </si>
  <si>
    <t>ASISTENCIA DIARIA</t>
  </si>
  <si>
    <t xml:space="preserve">DIA NORMAL </t>
  </si>
  <si>
    <t>TRABAJO FERIADO</t>
  </si>
  <si>
    <t>TRABAJO DOMINGO</t>
  </si>
  <si>
    <t>TRABAJO SABADO</t>
  </si>
  <si>
    <t>ESCRIBIR EN LA COLUMNA ASISTENCIA DIARIA</t>
  </si>
  <si>
    <t>DATOS</t>
  </si>
  <si>
    <t>SABADOS</t>
  </si>
  <si>
    <t>SI TRABAJÓ EL 1RO DE MAYO</t>
  </si>
  <si>
    <t>SI TRABAJÓ EL 1RO DE MAYO EN SU DIA LIBRE</t>
  </si>
  <si>
    <t>TRABAJO 1RO MAYO</t>
  </si>
  <si>
    <t>TRABAJO 1RO MAYO EN SU DIA LIBRE</t>
  </si>
  <si>
    <t>APELLIDOS, NOMBRES</t>
  </si>
  <si>
    <t>QUINCENAS</t>
  </si>
  <si>
    <t>1° QUINCENA</t>
  </si>
  <si>
    <t>2° QUINCENA</t>
  </si>
  <si>
    <t>FALTAS</t>
  </si>
  <si>
    <t>LICENCJA DE HIJO ENFERMO</t>
  </si>
  <si>
    <t>TARDANZA (MINUTOS)</t>
  </si>
  <si>
    <t>CUADRO RESUMEN PRIMERA QUINCENA</t>
  </si>
  <si>
    <t>Remuneración Máxima Asegurable</t>
  </si>
  <si>
    <t>COMISIÓN SOBRE FLUJO</t>
  </si>
  <si>
    <t>COMISIÓN FIJA 2/</t>
  </si>
  <si>
    <t>PRIMA DE SEGUROS (%) 4/</t>
  </si>
  <si>
    <r>
      <t>Al mes de devengue 2020-05 </t>
    </r>
    <r>
      <rPr>
        <b/>
        <vertAlign val="superscript"/>
        <sz val="10"/>
        <color rgb="FF044F85"/>
        <rFont val="Trebuchet MS"/>
        <family val="2"/>
      </rPr>
      <t>1/</t>
    </r>
  </si>
  <si>
    <r>
      <t>COMISIÓN MIXTA</t>
    </r>
    <r>
      <rPr>
        <b/>
        <vertAlign val="superscript"/>
        <sz val="10"/>
        <color theme="1"/>
        <rFont val="Trebuchet MS"/>
        <family val="2"/>
      </rPr>
      <t>5/</t>
    </r>
  </si>
  <si>
    <r>
      <t>SALDO </t>
    </r>
    <r>
      <rPr>
        <b/>
        <vertAlign val="superscript"/>
        <sz val="10"/>
        <color theme="1"/>
        <rFont val="Trebuchet MS"/>
        <family val="2"/>
      </rPr>
      <t>3/</t>
    </r>
  </si>
  <si>
    <t>HORAS EXTRA</t>
  </si>
  <si>
    <t>DIAS TRABAJADOS</t>
  </si>
  <si>
    <t>CONSIDERACIONES</t>
  </si>
  <si>
    <t>SOLO CAMBIAR LAS CELDAS DE HR. ENTRADA - SALIDA Y LA COLUMNA DE ASISTENCIA DIARIA.</t>
  </si>
  <si>
    <t>SOLO CAMBIAR LA PRIMERA FECHA,  LOS DIAS SIGUIENTES DE AMBAS QUINCENAS SE ACTUALIZAN AUTOMATICAMENTE.</t>
  </si>
  <si>
    <t>CISNEROS PACOTAYPE KEVIN</t>
  </si>
  <si>
    <t>CISNEROS SUMA, ANDRES JUAN</t>
  </si>
  <si>
    <t>GAVIDIA PEREIRA JAVIER</t>
  </si>
  <si>
    <t>TENORIO MARTINEZ DE CISNEROS RUTH LOURDES</t>
  </si>
  <si>
    <t>Excel para calcular el descuento por el impuesto a la Renta de quinta categoría</t>
  </si>
  <si>
    <t>Proyección de ingresos brutos anuales</t>
  </si>
  <si>
    <t>S/.</t>
  </si>
  <si>
    <t>Monto de 7 UIT descontable</t>
  </si>
  <si>
    <t>Renta neta gravable de impuesto de quinta</t>
  </si>
  <si>
    <t>Escala UIT</t>
  </si>
  <si>
    <t>Tasas</t>
  </si>
  <si>
    <t>Máximos en S/.</t>
  </si>
  <si>
    <t>Monto afecto en S/.</t>
  </si>
  <si>
    <t>Impuesto en S/.</t>
  </si>
  <si>
    <t>Hasta 5 UIT</t>
  </si>
  <si>
    <t>Mas de 5 UIT hasta 20 UIT</t>
  </si>
  <si>
    <t>Mas de 20 UIT hasta 35 UIT</t>
  </si>
  <si>
    <t>Mas de 35 UIT hasta 45 UIT</t>
  </si>
  <si>
    <t>Mas de 45 UIT</t>
  </si>
  <si>
    <t>Impuesto a la Renta a pagar por el año en curso</t>
  </si>
  <si>
    <t>Retención Mensual aproximada que se realiza al trabajador</t>
  </si>
  <si>
    <t>Unidad Impositiva Tributaria (UIT) del año en curso</t>
  </si>
  <si>
    <t>EMPLEADOS</t>
  </si>
  <si>
    <t>DIAS FALTO</t>
  </si>
  <si>
    <t>PAGO</t>
  </si>
  <si>
    <t>HORAS EXTRAS</t>
  </si>
  <si>
    <t>DOMINGOS Y FERIADOS</t>
  </si>
  <si>
    <t>TOTAL
MOVIL QUINCENAL</t>
  </si>
  <si>
    <t>RETENCION AFP/ONP</t>
  </si>
  <si>
    <t>NETO A PAGAR</t>
  </si>
  <si>
    <t>SCTR PENSIÓN</t>
  </si>
  <si>
    <t>SCTR SALUD</t>
  </si>
  <si>
    <t>ADELANTOS/PRESTA</t>
  </si>
  <si>
    <t>REINTEGRO</t>
  </si>
  <si>
    <t>DIAS</t>
  </si>
  <si>
    <t>FINAL</t>
  </si>
  <si>
    <t>CANTIDA</t>
  </si>
  <si>
    <t>CANT.</t>
  </si>
  <si>
    <t>MYPE INDETERM</t>
  </si>
  <si>
    <t>554671ACSNA9</t>
  </si>
  <si>
    <t>PROFUTURO FLUJO</t>
  </si>
  <si>
    <t>PRIMA FLUJO</t>
  </si>
  <si>
    <t>MYPE CONTRAT</t>
  </si>
  <si>
    <t xml:space="preserve">606781FPCAP2	</t>
  </si>
  <si>
    <t>ALMACEN</t>
  </si>
  <si>
    <t>INTEGRA FLUJO</t>
  </si>
  <si>
    <t>589590RTMOT3</t>
  </si>
  <si>
    <t>ADMINISTRACION</t>
  </si>
  <si>
    <t>ASIST ADMINIST</t>
  </si>
  <si>
    <t>631331JVCQY3</t>
  </si>
  <si>
    <t>PINTURA</t>
  </si>
  <si>
    <t>PINTOR</t>
  </si>
  <si>
    <t>17/03/1998</t>
  </si>
  <si>
    <t>74171661</t>
  </si>
  <si>
    <t>658691MZCAO5</t>
  </si>
  <si>
    <t>MOVILIDAD</t>
  </si>
  <si>
    <t>POR FUERA</t>
  </si>
  <si>
    <t>ADMINISTRACIÓN</t>
  </si>
  <si>
    <t>INGENIERO</t>
  </si>
  <si>
    <t>ADMINISTRADOR GENERAL</t>
  </si>
  <si>
    <t>A PLAZO FIJO</t>
  </si>
  <si>
    <t>REMUNERACIÓN QUINCENAL</t>
  </si>
  <si>
    <t>INCENTIVO POR PRODUCION</t>
  </si>
  <si>
    <t>1RA QUINCENA JUNIO 2026</t>
  </si>
  <si>
    <t>TOTAL DE REFRIGERIO</t>
  </si>
  <si>
    <t>SAB. - DOM. EXTRA (MIN.)</t>
  </si>
  <si>
    <t>SOLICITUD DEL SUPERVISOR</t>
  </si>
  <si>
    <t>L - V (MIN. EXTRA)</t>
  </si>
  <si>
    <t>CANT. HRS. EXTRA (MIN.)</t>
  </si>
  <si>
    <t>CANT. HRS. EXTRA (DIAS)</t>
  </si>
  <si>
    <t>COLUMNA SOLICITUD DEL SUPERVISOR</t>
  </si>
  <si>
    <t>HR. SALIDA (REFR.)</t>
  </si>
  <si>
    <t>HR. REGRESO (REFR,)</t>
  </si>
  <si>
    <t>HRS. ESPERADAS</t>
  </si>
  <si>
    <t>MIN. ESPERADOS</t>
  </si>
  <si>
    <t>JUSTIFICADO</t>
  </si>
  <si>
    <t>SI JUSTFICÓ</t>
  </si>
  <si>
    <t>A PAGAR 15/06/26</t>
  </si>
  <si>
    <t>INCENTIVOS</t>
  </si>
  <si>
    <t>450 PRESTAMO/ADELANTO DE SUELDO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</si>
</sst>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&quot;S/.&quot;#,##0.00;[Red]&quot;S/.&quot;\-#,##0.00"/>
    <numFmt numFmtId="165" formatCode="_ &quot;S/.&quot;* #,##0.00_ ;_ &quot;S/.&quot;* \-#,##0.00_ ;_ &quot;S/.&quot;* &quot;-&quot;??_ ;_ @_ "/>
    <numFmt numFmtId="166" formatCode="_ * #,##0.00_ ;_ * \-#,##0.00_ ;_ * &quot;-&quot;??_ ;_ @_ "/>
    <numFmt numFmtId="167" formatCode="_ * #,##0.0_ ;_ * \-#,##0.0_ ;_ * &quot;-&quot;??_ ;_ @_ "/>
    <numFmt numFmtId="168" formatCode="_ * #,##0_ ;_ * \-#,##0_ ;_ * &quot;-&quot;??_ ;_ @_ "/>
    <numFmt numFmtId="169" formatCode="00"/>
    <numFmt numFmtId="170" formatCode="dd\-mm\-yy;@"/>
    <numFmt numFmtId="171" formatCode="00000000"/>
    <numFmt numFmtId="172" formatCode="&quot;S/.&quot;\ #,##0.00"/>
    <numFmt numFmtId="173" formatCode="[$-280A]h:mm:ss\ AM/PM;@"/>
    <numFmt numFmtId="174" formatCode="hh:mm:ss\ &quot;Horas&quot;"/>
    <numFmt numFmtId="175" formatCode="0.00\ &quot;Minutos&quot;"/>
    <numFmt numFmtId="176" formatCode="0.00\ &quot;Hora/s&quot;"/>
    <numFmt numFmtId="177" formatCode="[$-280A]hh:mm:ss\ AM/PM;@"/>
    <numFmt numFmtId="178" formatCode="[h]:mm:ss\ &quot;Horas&quot;"/>
    <numFmt numFmtId="179" formatCode="[$-F400]h:mm:ss\ AM/PM"/>
    <numFmt numFmtId="180" formatCode="#,##0_ ;\-#,##0\ 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6"/>
      <name val="Cambria"/>
      <family val="1"/>
      <scheme val="major"/>
    </font>
    <font>
      <sz val="16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1"/>
      <color theme="10"/>
      <name val="Calibri"/>
      <family val="2"/>
      <scheme val="minor"/>
    </font>
    <font>
      <sz val="9"/>
      <color theme="5" tint="-0.499984740745262"/>
      <name val="Cambria"/>
      <family val="1"/>
      <scheme val="major"/>
    </font>
    <font>
      <sz val="9"/>
      <color rgb="FF7030A0"/>
      <name val="Cambria"/>
      <family val="1"/>
      <scheme val="major"/>
    </font>
    <font>
      <sz val="9"/>
      <color theme="1"/>
      <name val="Cambria"/>
      <family val="1"/>
      <scheme val="major"/>
    </font>
    <font>
      <sz val="10"/>
      <color theme="1"/>
      <name val="Cambria"/>
      <family val="1"/>
      <scheme val="major"/>
    </font>
    <font>
      <b/>
      <sz val="9"/>
      <name val="Cambria"/>
      <family val="1"/>
      <scheme val="major"/>
    </font>
    <font>
      <sz val="10"/>
      <name val="Arial"/>
      <family val="2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b/>
      <sz val="14"/>
      <color rgb="FFFFFF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color rgb="FFFFFF00"/>
      <name val="Calibri"/>
      <family val="2"/>
      <scheme val="minor"/>
    </font>
    <font>
      <b/>
      <sz val="12"/>
      <color rgb="FFFFFF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20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mbria"/>
      <family val="1"/>
      <scheme val="major"/>
    </font>
    <font>
      <b/>
      <sz val="14"/>
      <name val="Cambria"/>
      <family val="1"/>
      <scheme val="major"/>
    </font>
    <font>
      <u/>
      <sz val="14"/>
      <color theme="10"/>
      <name val="Calibri"/>
      <family val="2"/>
      <scheme val="minor"/>
    </font>
    <font>
      <b/>
      <sz val="16"/>
      <color theme="0"/>
      <name val="Cambria"/>
      <family val="1"/>
      <scheme val="major"/>
    </font>
    <font>
      <b/>
      <sz val="9"/>
      <color theme="1"/>
      <name val="Trebuchet MS"/>
      <family val="2"/>
    </font>
    <font>
      <b/>
      <sz val="10"/>
      <color rgb="FF044F85"/>
      <name val="Trebuchet MS"/>
      <family val="2"/>
    </font>
    <font>
      <b/>
      <vertAlign val="superscript"/>
      <sz val="10"/>
      <color rgb="FF044F85"/>
      <name val="Trebuchet MS"/>
      <family val="2"/>
    </font>
    <font>
      <b/>
      <sz val="10"/>
      <color theme="1"/>
      <name val="Trebuchet MS"/>
      <family val="2"/>
    </font>
    <font>
      <b/>
      <vertAlign val="superscript"/>
      <sz val="10"/>
      <color theme="1"/>
      <name val="Trebuchet MS"/>
      <family val="2"/>
    </font>
    <font>
      <b/>
      <sz val="8"/>
      <color theme="1"/>
      <name val="Trebuchet MS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name val="Tahoma"/>
      <family val="2"/>
    </font>
    <font>
      <sz val="9"/>
      <name val="Tahoma"/>
      <family val="2"/>
    </font>
    <font>
      <sz val="10"/>
      <name val="Cambria"/>
      <family val="1"/>
      <scheme val="major"/>
    </font>
    <font>
      <b/>
      <sz val="10"/>
      <name val="Cambria"/>
      <family val="1"/>
      <scheme val="major"/>
    </font>
    <font>
      <sz val="10"/>
      <color theme="1" tint="4.9989318521683403E-2"/>
      <name val="Cambria"/>
      <family val="1"/>
      <scheme val="major"/>
    </font>
    <font>
      <b/>
      <sz val="10"/>
      <color rgb="FFFFFF00"/>
      <name val="Cambria"/>
      <family val="1"/>
      <scheme val="major"/>
    </font>
    <font>
      <sz val="8"/>
      <color rgb="FF002060"/>
      <name val="Cambria"/>
      <family val="1"/>
      <scheme val="major"/>
    </font>
    <font>
      <b/>
      <sz val="6"/>
      <color theme="1"/>
      <name val="Cambria"/>
      <family val="1"/>
      <scheme val="major"/>
    </font>
    <font>
      <sz val="6"/>
      <color theme="1"/>
      <name val="Cambria"/>
      <family val="1"/>
      <scheme val="major"/>
    </font>
    <font>
      <b/>
      <sz val="10"/>
      <color rgb="FF0000FF"/>
      <name val="Cambria"/>
      <family val="1"/>
      <scheme val="major"/>
    </font>
    <font>
      <b/>
      <sz val="10"/>
      <color theme="0" tint="-0.499984740745262"/>
      <name val="Cambria"/>
      <family val="1"/>
      <scheme val="major"/>
    </font>
    <font>
      <b/>
      <sz val="10"/>
      <color rgb="FF0000CC"/>
      <name val="Cambria"/>
      <family val="1"/>
      <scheme val="major"/>
    </font>
    <font>
      <sz val="10"/>
      <color rgb="FFFF0000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4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4A4A4"/>
        <bgColor indexed="64"/>
      </patternFill>
    </fill>
    <fill>
      <patternFill patternType="solid">
        <fgColor rgb="FFFFBF00"/>
        <bgColor indexed="64"/>
      </patternFill>
    </fill>
    <fill>
      <patternFill patternType="solid">
        <fgColor rgb="FF5CB7F8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042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57FFA3"/>
        <bgColor indexed="64"/>
      </patternFill>
    </fill>
    <fill>
      <patternFill patternType="solid">
        <fgColor rgb="FFFF9B9B"/>
        <bgColor indexed="64"/>
      </patternFill>
    </fill>
    <fill>
      <patternFill patternType="solid">
        <fgColor rgb="FFFF1DEF"/>
        <bgColor indexed="64"/>
      </patternFill>
    </fill>
    <fill>
      <patternFill patternType="solid">
        <fgColor rgb="FFFF9FF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FF0000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3">
    <xf numFmtId="0" fontId="0" fillId="0" borderId="0"/>
    <xf numFmtId="166" fontId="1" fillId="0" borderId="0" applyFont="0" applyFill="0" applyBorder="0" applyAlignment="0" applyProtection="0"/>
    <xf numFmtId="0" fontId="3" fillId="0" borderId="0"/>
    <xf numFmtId="166" fontId="1" fillId="0" borderId="0" applyFont="0" applyFill="0" applyBorder="0" applyAlignment="0" applyProtection="0"/>
    <xf numFmtId="0" fontId="3" fillId="0" borderId="0" applyBorder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0" fontId="9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5" fillId="0" borderId="0"/>
    <xf numFmtId="43" fontId="3" fillId="0" borderId="0" applyFont="0" applyFill="0" applyBorder="0" applyAlignment="0" applyProtection="0"/>
  </cellStyleXfs>
  <cellXfs count="364">
    <xf numFmtId="0" fontId="0" fillId="0" borderId="0" xfId="0"/>
    <xf numFmtId="0" fontId="3" fillId="0" borderId="0" xfId="5"/>
    <xf numFmtId="0" fontId="2" fillId="0" borderId="19" xfId="5" applyFont="1" applyBorder="1" applyAlignment="1">
      <alignment horizontal="center" vertical="justify"/>
    </xf>
    <xf numFmtId="0" fontId="2" fillId="0" borderId="19" xfId="5" applyFont="1" applyBorder="1" applyAlignment="1">
      <alignment horizontal="center" vertical="center" wrapText="1"/>
    </xf>
    <xf numFmtId="0" fontId="5" fillId="0" borderId="0" xfId="5" applyFont="1"/>
    <xf numFmtId="0" fontId="6" fillId="0" borderId="0" xfId="5" applyFont="1"/>
    <xf numFmtId="0" fontId="2" fillId="10" borderId="1" xfId="5" applyFont="1" applyFill="1" applyBorder="1"/>
    <xf numFmtId="0" fontId="2" fillId="10" borderId="1" xfId="5" applyFont="1" applyFill="1" applyBorder="1" applyAlignment="1">
      <alignment horizontal="center"/>
    </xf>
    <xf numFmtId="10" fontId="2" fillId="10" borderId="1" xfId="5" applyNumberFormat="1" applyFont="1" applyFill="1" applyBorder="1" applyAlignment="1">
      <alignment horizontal="center"/>
    </xf>
    <xf numFmtId="10" fontId="2" fillId="10" borderId="2" xfId="5" applyNumberFormat="1" applyFont="1" applyFill="1" applyBorder="1" applyAlignment="1">
      <alignment horizontal="center"/>
    </xf>
    <xf numFmtId="4" fontId="5" fillId="0" borderId="0" xfId="5" applyNumberFormat="1" applyFont="1"/>
    <xf numFmtId="4" fontId="5" fillId="0" borderId="0" xfId="5" applyNumberFormat="1" applyFont="1" applyAlignment="1">
      <alignment horizontal="right"/>
    </xf>
    <xf numFmtId="172" fontId="7" fillId="10" borderId="0" xfId="5" applyNumberFormat="1" applyFont="1" applyFill="1"/>
    <xf numFmtId="0" fontId="8" fillId="0" borderId="0" xfId="5" applyFont="1" applyAlignment="1">
      <alignment horizontal="center"/>
    </xf>
    <xf numFmtId="0" fontId="2" fillId="0" borderId="1" xfId="5" applyFont="1" applyBorder="1" applyAlignment="1">
      <alignment horizontal="center"/>
    </xf>
    <xf numFmtId="0" fontId="3" fillId="0" borderId="1" xfId="5" applyBorder="1" applyAlignment="1">
      <alignment horizontal="center"/>
    </xf>
    <xf numFmtId="9" fontId="3" fillId="0" borderId="1" xfId="5" applyNumberFormat="1" applyBorder="1" applyAlignment="1">
      <alignment horizontal="center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1" fillId="2" borderId="0" xfId="0" applyFont="1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8" fillId="20" borderId="1" xfId="0" applyFont="1" applyFill="1" applyBorder="1" applyAlignment="1">
      <alignment horizontal="center" vertical="center"/>
    </xf>
    <xf numFmtId="2" fontId="0" fillId="0" borderId="0" xfId="0" applyNumberFormat="1"/>
    <xf numFmtId="0" fontId="17" fillId="0" borderId="1" xfId="0" applyFont="1" applyBorder="1" applyAlignment="1">
      <alignment horizontal="center" vertical="center" wrapText="1"/>
    </xf>
    <xf numFmtId="174" fontId="17" fillId="0" borderId="1" xfId="0" applyNumberFormat="1" applyFont="1" applyBorder="1" applyAlignment="1">
      <alignment horizontal="center" vertical="center" wrapText="1"/>
    </xf>
    <xf numFmtId="175" fontId="17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175" fontId="17" fillId="0" borderId="1" xfId="0" applyNumberFormat="1" applyFont="1" applyBorder="1" applyAlignment="1">
      <alignment horizontal="center"/>
    </xf>
    <xf numFmtId="174" fontId="17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0" fontId="0" fillId="22" borderId="0" xfId="0" applyFill="1"/>
    <xf numFmtId="0" fontId="0" fillId="22" borderId="0" xfId="0" applyFill="1" applyAlignment="1">
      <alignment wrapText="1"/>
    </xf>
    <xf numFmtId="0" fontId="0" fillId="25" borderId="1" xfId="0" applyFill="1" applyBorder="1" applyAlignment="1">
      <alignment horizontal="center" vertical="center" wrapText="1"/>
    </xf>
    <xf numFmtId="0" fontId="20" fillId="10" borderId="1" xfId="0" applyFont="1" applyFill="1" applyBorder="1" applyAlignment="1">
      <alignment horizontal="center" vertical="center" wrapText="1"/>
    </xf>
    <xf numFmtId="0" fontId="17" fillId="5" borderId="1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23" borderId="1" xfId="0" applyFont="1" applyFill="1" applyBorder="1" applyAlignment="1">
      <alignment horizontal="center" vertical="center"/>
    </xf>
    <xf numFmtId="0" fontId="17" fillId="18" borderId="1" xfId="0" applyFont="1" applyFill="1" applyBorder="1" applyAlignment="1">
      <alignment horizontal="center" vertical="center"/>
    </xf>
    <xf numFmtId="0" fontId="17" fillId="24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21" fillId="0" borderId="0" xfId="0" applyFont="1"/>
    <xf numFmtId="0" fontId="0" fillId="22" borderId="0" xfId="0" applyFill="1" applyAlignment="1">
      <alignment horizontal="center" vertical="center"/>
    </xf>
    <xf numFmtId="0" fontId="17" fillId="0" borderId="0" xfId="0" applyFont="1"/>
    <xf numFmtId="0" fontId="22" fillId="0" borderId="0" xfId="0" applyFont="1"/>
    <xf numFmtId="0" fontId="22" fillId="22" borderId="0" xfId="0" applyFont="1" applyFill="1"/>
    <xf numFmtId="177" fontId="0" fillId="0" borderId="0" xfId="0" applyNumberFormat="1"/>
    <xf numFmtId="1" fontId="17" fillId="0" borderId="1" xfId="0" applyNumberFormat="1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5" fillId="20" borderId="2" xfId="0" applyFont="1" applyFill="1" applyBorder="1" applyAlignment="1">
      <alignment horizontal="center" vertical="center"/>
    </xf>
    <xf numFmtId="0" fontId="25" fillId="20" borderId="5" xfId="0" applyFont="1" applyFill="1" applyBorder="1" applyAlignment="1">
      <alignment horizontal="center" vertical="center"/>
    </xf>
    <xf numFmtId="14" fontId="25" fillId="20" borderId="5" xfId="0" applyNumberFormat="1" applyFont="1" applyFill="1" applyBorder="1" applyAlignment="1">
      <alignment horizontal="center" vertical="center"/>
    </xf>
    <xf numFmtId="0" fontId="0" fillId="0" borderId="1" xfId="0" applyBorder="1"/>
    <xf numFmtId="0" fontId="18" fillId="19" borderId="1" xfId="0" applyFont="1" applyFill="1" applyBorder="1" applyAlignment="1">
      <alignment horizontal="center" vertical="center"/>
    </xf>
    <xf numFmtId="2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27" borderId="1" xfId="0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17" fillId="29" borderId="1" xfId="0" applyFont="1" applyFill="1" applyBorder="1" applyAlignment="1">
      <alignment horizontal="center"/>
    </xf>
    <xf numFmtId="0" fontId="17" fillId="30" borderId="1" xfId="0" applyFont="1" applyFill="1" applyBorder="1" applyAlignment="1">
      <alignment horizontal="center"/>
    </xf>
    <xf numFmtId="0" fontId="17" fillId="23" borderId="1" xfId="0" applyFont="1" applyFill="1" applyBorder="1" applyAlignment="1">
      <alignment horizontal="center"/>
    </xf>
    <xf numFmtId="0" fontId="17" fillId="33" borderId="1" xfId="0" applyFont="1" applyFill="1" applyBorder="1" applyAlignment="1">
      <alignment horizontal="center"/>
    </xf>
    <xf numFmtId="0" fontId="17" fillId="34" borderId="1" xfId="0" applyFont="1" applyFill="1" applyBorder="1" applyAlignment="1">
      <alignment horizontal="center"/>
    </xf>
    <xf numFmtId="0" fontId="17" fillId="35" borderId="1" xfId="0" applyFont="1" applyFill="1" applyBorder="1" applyAlignment="1">
      <alignment horizontal="center"/>
    </xf>
    <xf numFmtId="0" fontId="17" fillId="22" borderId="1" xfId="0" applyFont="1" applyFill="1" applyBorder="1" applyAlignment="1">
      <alignment horizontal="center" vertical="center"/>
    </xf>
    <xf numFmtId="0" fontId="0" fillId="22" borderId="1" xfId="0" applyFill="1" applyBorder="1"/>
    <xf numFmtId="0" fontId="17" fillId="37" borderId="1" xfId="0" applyFont="1" applyFill="1" applyBorder="1" applyAlignment="1">
      <alignment horizontal="center"/>
    </xf>
    <xf numFmtId="0" fontId="27" fillId="22" borderId="1" xfId="0" applyFont="1" applyFill="1" applyBorder="1" applyAlignment="1">
      <alignment horizontal="center" vertical="center"/>
    </xf>
    <xf numFmtId="0" fontId="18" fillId="22" borderId="1" xfId="0" applyFont="1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7" borderId="0" xfId="0" applyFill="1"/>
    <xf numFmtId="0" fontId="0" fillId="19" borderId="26" xfId="0" applyFill="1" applyBorder="1" applyAlignment="1">
      <alignment horizontal="center" vertical="center"/>
    </xf>
    <xf numFmtId="0" fontId="0" fillId="19" borderId="26" xfId="0" applyFill="1" applyBorder="1"/>
    <xf numFmtId="0" fontId="0" fillId="19" borderId="25" xfId="0" applyFill="1" applyBorder="1" applyAlignment="1">
      <alignment horizontal="center" vertical="center"/>
    </xf>
    <xf numFmtId="0" fontId="0" fillId="19" borderId="25" xfId="0" applyFill="1" applyBorder="1"/>
    <xf numFmtId="0" fontId="14" fillId="2" borderId="23" xfId="0" applyFont="1" applyFill="1" applyBorder="1" applyAlignment="1">
      <alignment horizontal="center" vertical="center" wrapText="1"/>
    </xf>
    <xf numFmtId="0" fontId="14" fillId="2" borderId="23" xfId="0" applyFont="1" applyFill="1" applyBorder="1" applyAlignment="1">
      <alignment vertical="center" wrapText="1"/>
    </xf>
    <xf numFmtId="0" fontId="14" fillId="2" borderId="23" xfId="0" applyFont="1" applyFill="1" applyBorder="1" applyAlignment="1">
      <alignment horizontal="center"/>
    </xf>
    <xf numFmtId="10" fontId="14" fillId="2" borderId="23" xfId="0" applyNumberFormat="1" applyFont="1" applyFill="1" applyBorder="1" applyAlignment="1">
      <alignment horizontal="center" vertical="center" wrapText="1"/>
    </xf>
    <xf numFmtId="4" fontId="14" fillId="2" borderId="23" xfId="0" applyNumberFormat="1" applyFont="1" applyFill="1" applyBorder="1" applyAlignment="1">
      <alignment horizontal="center" vertical="center" wrapText="1"/>
    </xf>
    <xf numFmtId="10" fontId="14" fillId="2" borderId="23" xfId="0" applyNumberFormat="1" applyFont="1" applyFill="1" applyBorder="1" applyAlignment="1">
      <alignment horizontal="center"/>
    </xf>
    <xf numFmtId="0" fontId="30" fillId="13" borderId="23" xfId="0" applyFont="1" applyFill="1" applyBorder="1" applyAlignment="1">
      <alignment horizontal="center" vertical="center" wrapText="1"/>
    </xf>
    <xf numFmtId="0" fontId="31" fillId="0" borderId="0" xfId="9" applyFont="1"/>
    <xf numFmtId="0" fontId="16" fillId="0" borderId="0" xfId="0" applyFont="1"/>
    <xf numFmtId="0" fontId="33" fillId="14" borderId="1" xfId="0" applyFont="1" applyFill="1" applyBorder="1" applyAlignment="1">
      <alignment horizontal="center" vertical="center" wrapText="1"/>
    </xf>
    <xf numFmtId="0" fontId="33" fillId="14" borderId="1" xfId="0" applyFont="1" applyFill="1" applyBorder="1" applyAlignment="1">
      <alignment horizontal="left" vertical="center" wrapText="1"/>
    </xf>
    <xf numFmtId="10" fontId="33" fillId="14" borderId="1" xfId="0" applyNumberFormat="1" applyFont="1" applyFill="1" applyBorder="1" applyAlignment="1">
      <alignment horizontal="center" vertical="center" wrapText="1"/>
    </xf>
    <xf numFmtId="4" fontId="33" fillId="14" borderId="1" xfId="0" applyNumberFormat="1" applyFont="1" applyFill="1" applyBorder="1" applyAlignment="1">
      <alignment horizontal="center" vertical="center" wrapText="1"/>
    </xf>
    <xf numFmtId="0" fontId="36" fillId="17" borderId="4" xfId="0" applyFont="1" applyFill="1" applyBorder="1" applyAlignment="1">
      <alignment horizontal="center" vertical="center" wrapText="1"/>
    </xf>
    <xf numFmtId="0" fontId="36" fillId="17" borderId="5" xfId="0" applyFont="1" applyFill="1" applyBorder="1" applyAlignment="1">
      <alignment horizontal="center" vertical="center" wrapText="1"/>
    </xf>
    <xf numFmtId="0" fontId="36" fillId="17" borderId="2" xfId="0" applyFont="1" applyFill="1" applyBorder="1" applyAlignment="1">
      <alignment horizontal="center" vertical="center" wrapText="1"/>
    </xf>
    <xf numFmtId="0" fontId="38" fillId="17" borderId="2" xfId="0" applyFont="1" applyFill="1" applyBorder="1" applyAlignment="1">
      <alignment horizontal="center" vertical="center" wrapText="1"/>
    </xf>
    <xf numFmtId="0" fontId="17" fillId="39" borderId="1" xfId="0" applyFont="1" applyFill="1" applyBorder="1" applyAlignment="1">
      <alignment horizontal="center"/>
    </xf>
    <xf numFmtId="0" fontId="2" fillId="0" borderId="27" xfId="5" applyFont="1" applyBorder="1" applyAlignment="1">
      <alignment horizontal="center" vertical="justify"/>
    </xf>
    <xf numFmtId="0" fontId="25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" fontId="17" fillId="0" borderId="0" xfId="0" applyNumberFormat="1" applyFont="1" applyAlignment="1">
      <alignment horizontal="center" vertical="center"/>
    </xf>
    <xf numFmtId="178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8" xfId="0" applyBorder="1"/>
    <xf numFmtId="0" fontId="0" fillId="0" borderId="24" xfId="0" applyBorder="1"/>
    <xf numFmtId="0" fontId="0" fillId="0" borderId="7" xfId="0" applyBorder="1"/>
    <xf numFmtId="0" fontId="0" fillId="0" borderId="28" xfId="0" applyBorder="1"/>
    <xf numFmtId="0" fontId="0" fillId="0" borderId="29" xfId="0" applyBorder="1"/>
    <xf numFmtId="0" fontId="0" fillId="0" borderId="33" xfId="0" applyBorder="1" applyAlignment="1">
      <alignment horizontal="center"/>
    </xf>
    <xf numFmtId="3" fontId="0" fillId="41" borderId="34" xfId="0" applyNumberFormat="1" applyFill="1" applyBorder="1"/>
    <xf numFmtId="0" fontId="0" fillId="0" borderId="3" xfId="0" applyBorder="1" applyAlignment="1">
      <alignment horizontal="center"/>
    </xf>
    <xf numFmtId="3" fontId="0" fillId="0" borderId="36" xfId="0" applyNumberFormat="1" applyBorder="1"/>
    <xf numFmtId="0" fontId="0" fillId="0" borderId="40" xfId="0" applyBorder="1" applyAlignment="1">
      <alignment horizontal="center"/>
    </xf>
    <xf numFmtId="3" fontId="0" fillId="0" borderId="41" xfId="0" applyNumberFormat="1" applyBorder="1"/>
    <xf numFmtId="3" fontId="0" fillId="0" borderId="0" xfId="0" applyNumberFormat="1"/>
    <xf numFmtId="0" fontId="39" fillId="26" borderId="42" xfId="0" applyFont="1" applyFill="1" applyBorder="1" applyAlignment="1">
      <alignment horizontal="center" vertical="center" wrapText="1"/>
    </xf>
    <xf numFmtId="0" fontId="39" fillId="26" borderId="43" xfId="0" applyFont="1" applyFill="1" applyBorder="1" applyAlignment="1">
      <alignment horizontal="center" vertical="center" wrapText="1"/>
    </xf>
    <xf numFmtId="0" fontId="39" fillId="26" borderId="44" xfId="0" applyFont="1" applyFill="1" applyBorder="1" applyAlignment="1">
      <alignment horizontal="center" vertical="center" wrapText="1"/>
    </xf>
    <xf numFmtId="0" fontId="39" fillId="26" borderId="19" xfId="0" applyFont="1" applyFill="1" applyBorder="1" applyAlignment="1">
      <alignment horizontal="center" vertical="center" wrapText="1"/>
    </xf>
    <xf numFmtId="0" fontId="0" fillId="0" borderId="45" xfId="0" applyBorder="1"/>
    <xf numFmtId="9" fontId="0" fillId="0" borderId="1" xfId="0" applyNumberFormat="1" applyBorder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0" xfId="0" applyNumberFormat="1" applyBorder="1"/>
    <xf numFmtId="3" fontId="0" fillId="0" borderId="34" xfId="0" applyNumberFormat="1" applyBorder="1" applyAlignment="1">
      <alignment horizontal="right"/>
    </xf>
    <xf numFmtId="3" fontId="0" fillId="0" borderId="35" xfId="0" applyNumberFormat="1" applyBorder="1"/>
    <xf numFmtId="3" fontId="0" fillId="0" borderId="36" xfId="0" applyNumberFormat="1" applyBorder="1" applyAlignment="1">
      <alignment horizontal="right"/>
    </xf>
    <xf numFmtId="0" fontId="0" fillId="0" borderId="46" xfId="0" applyBorder="1"/>
    <xf numFmtId="9" fontId="0" fillId="0" borderId="47" xfId="0" applyNumberFormat="1" applyBorder="1" applyAlignment="1">
      <alignment horizontal="right"/>
    </xf>
    <xf numFmtId="3" fontId="0" fillId="0" borderId="40" xfId="0" applyNumberFormat="1" applyBorder="1" applyAlignment="1">
      <alignment horizontal="right"/>
    </xf>
    <xf numFmtId="3" fontId="0" fillId="0" borderId="37" xfId="0" applyNumberFormat="1" applyBorder="1"/>
    <xf numFmtId="3" fontId="0" fillId="0" borderId="41" xfId="0" applyNumberFormat="1" applyBorder="1" applyAlignment="1">
      <alignment horizontal="right"/>
    </xf>
    <xf numFmtId="3" fontId="0" fillId="0" borderId="48" xfId="0" applyNumberFormat="1" applyBorder="1"/>
    <xf numFmtId="3" fontId="39" fillId="42" borderId="50" xfId="0" applyNumberFormat="1" applyFont="1" applyFill="1" applyBorder="1" applyAlignment="1">
      <alignment horizontal="right"/>
    </xf>
    <xf numFmtId="3" fontId="0" fillId="41" borderId="19" xfId="0" applyNumberFormat="1" applyFill="1" applyBorder="1"/>
    <xf numFmtId="3" fontId="0" fillId="4" borderId="19" xfId="0" applyNumberFormat="1" applyFill="1" applyBorder="1"/>
    <xf numFmtId="0" fontId="0" fillId="0" borderId="48" xfId="0" applyBorder="1"/>
    <xf numFmtId="0" fontId="0" fillId="0" borderId="49" xfId="0" applyBorder="1"/>
    <xf numFmtId="0" fontId="0" fillId="0" borderId="52" xfId="0" applyBorder="1"/>
    <xf numFmtId="0" fontId="13" fillId="2" borderId="11" xfId="0" applyFont="1" applyFill="1" applyBorder="1"/>
    <xf numFmtId="0" fontId="43" fillId="2" borderId="11" xfId="0" applyFont="1" applyFill="1" applyBorder="1"/>
    <xf numFmtId="0" fontId="44" fillId="45" borderId="1" xfId="0" applyFont="1" applyFill="1" applyBorder="1" applyAlignment="1">
      <alignment horizontal="center" vertical="center"/>
    </xf>
    <xf numFmtId="0" fontId="44" fillId="45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44" borderId="1" xfId="0" applyFont="1" applyFill="1" applyBorder="1" applyAlignment="1">
      <alignment horizontal="center" vertical="center" wrapText="1"/>
    </xf>
    <xf numFmtId="0" fontId="44" fillId="4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/>
    </xf>
    <xf numFmtId="0" fontId="13" fillId="2" borderId="0" xfId="0" applyFont="1" applyFill="1"/>
    <xf numFmtId="9" fontId="44" fillId="44" borderId="1" xfId="0" applyNumberFormat="1" applyFont="1" applyFill="1" applyBorder="1" applyAlignment="1">
      <alignment horizontal="center" vertical="center"/>
    </xf>
    <xf numFmtId="10" fontId="44" fillId="44" borderId="1" xfId="0" applyNumberFormat="1" applyFont="1" applyFill="1" applyBorder="1" applyAlignment="1">
      <alignment horizontal="center" vertical="center"/>
    </xf>
    <xf numFmtId="9" fontId="44" fillId="45" borderId="1" xfId="0" applyNumberFormat="1" applyFont="1" applyFill="1" applyBorder="1" applyAlignment="1">
      <alignment horizontal="center" vertical="center"/>
    </xf>
    <xf numFmtId="10" fontId="44" fillId="45" borderId="1" xfId="0" applyNumberFormat="1" applyFont="1" applyFill="1" applyBorder="1" applyAlignment="1">
      <alignment horizontal="center" vertical="center"/>
    </xf>
    <xf numFmtId="168" fontId="44" fillId="4" borderId="1" xfId="1" applyNumberFormat="1" applyFont="1" applyFill="1" applyBorder="1" applyAlignment="1">
      <alignment horizontal="center" vertical="center"/>
    </xf>
    <xf numFmtId="14" fontId="43" fillId="2" borderId="1" xfId="0" applyNumberFormat="1" applyFont="1" applyFill="1" applyBorder="1" applyAlignment="1">
      <alignment horizontal="center" vertical="center"/>
    </xf>
    <xf numFmtId="171" fontId="43" fillId="2" borderId="1" xfId="0" applyNumberFormat="1" applyFont="1" applyFill="1" applyBorder="1" applyAlignment="1">
      <alignment horizontal="center" vertical="center"/>
    </xf>
    <xf numFmtId="170" fontId="43" fillId="2" borderId="1" xfId="0" applyNumberFormat="1" applyFont="1" applyFill="1" applyBorder="1" applyAlignment="1">
      <alignment horizontal="center" vertical="center"/>
    </xf>
    <xf numFmtId="170" fontId="43" fillId="2" borderId="1" xfId="0" applyNumberFormat="1" applyFont="1" applyFill="1" applyBorder="1" applyAlignment="1">
      <alignment horizontal="left" vertical="center"/>
    </xf>
    <xf numFmtId="166" fontId="43" fillId="9" borderId="1" xfId="1" applyFont="1" applyFill="1" applyBorder="1" applyAlignment="1">
      <alignment horizontal="left" vertical="center"/>
    </xf>
    <xf numFmtId="166" fontId="45" fillId="9" borderId="1" xfId="1" applyFont="1" applyFill="1" applyBorder="1" applyAlignment="1">
      <alignment horizontal="left" vertical="center"/>
    </xf>
    <xf numFmtId="168" fontId="43" fillId="2" borderId="1" xfId="0" applyNumberFormat="1" applyFont="1" applyFill="1" applyBorder="1" applyAlignment="1">
      <alignment horizontal="left" vertical="center" wrapText="1"/>
    </xf>
    <xf numFmtId="168" fontId="43" fillId="2" borderId="1" xfId="0" applyNumberFormat="1" applyFont="1" applyFill="1" applyBorder="1" applyAlignment="1">
      <alignment vertical="center" wrapText="1"/>
    </xf>
    <xf numFmtId="166" fontId="43" fillId="2" borderId="1" xfId="0" applyNumberFormat="1" applyFont="1" applyFill="1" applyBorder="1" applyAlignment="1">
      <alignment horizontal="right" vertical="center"/>
    </xf>
    <xf numFmtId="4" fontId="43" fillId="2" borderId="1" xfId="0" applyNumberFormat="1" applyFont="1" applyFill="1" applyBorder="1" applyAlignment="1">
      <alignment horizontal="right" vertical="center"/>
    </xf>
    <xf numFmtId="166" fontId="43" fillId="2" borderId="1" xfId="0" applyNumberFormat="1" applyFont="1" applyFill="1" applyBorder="1" applyAlignment="1">
      <alignment horizontal="center" vertical="center"/>
    </xf>
    <xf numFmtId="166" fontId="43" fillId="2" borderId="1" xfId="1" applyFont="1" applyFill="1" applyBorder="1" applyAlignment="1">
      <alignment horizontal="center" vertical="center"/>
    </xf>
    <xf numFmtId="166" fontId="43" fillId="5" borderId="1" xfId="0" applyNumberFormat="1" applyFont="1" applyFill="1" applyBorder="1" applyAlignment="1">
      <alignment horizontal="right" vertical="center"/>
    </xf>
    <xf numFmtId="166" fontId="43" fillId="2" borderId="1" xfId="0" applyNumberFormat="1" applyFont="1" applyFill="1" applyBorder="1" applyAlignment="1">
      <alignment vertical="center"/>
    </xf>
    <xf numFmtId="166" fontId="43" fillId="2" borderId="1" xfId="1" applyFont="1" applyFill="1" applyBorder="1" applyAlignment="1">
      <alignment vertical="center"/>
    </xf>
    <xf numFmtId="166" fontId="43" fillId="5" borderId="1" xfId="1" applyFont="1" applyFill="1" applyBorder="1" applyAlignment="1">
      <alignment vertical="center"/>
    </xf>
    <xf numFmtId="166" fontId="13" fillId="9" borderId="1" xfId="1" applyFont="1" applyFill="1" applyBorder="1" applyAlignment="1">
      <alignment vertical="center"/>
    </xf>
    <xf numFmtId="166" fontId="43" fillId="6" borderId="1" xfId="0" applyNumberFormat="1" applyFont="1" applyFill="1" applyBorder="1" applyAlignment="1">
      <alignment horizontal="right" vertical="center"/>
    </xf>
    <xf numFmtId="4" fontId="43" fillId="6" borderId="1" xfId="1" applyNumberFormat="1" applyFont="1" applyFill="1" applyBorder="1" applyAlignment="1">
      <alignment vertical="center"/>
    </xf>
    <xf numFmtId="12" fontId="43" fillId="2" borderId="1" xfId="1" applyNumberFormat="1" applyFont="1" applyFill="1" applyBorder="1" applyAlignment="1">
      <alignment horizontal="center" vertical="center"/>
    </xf>
    <xf numFmtId="166" fontId="13" fillId="2" borderId="1" xfId="0" applyNumberFormat="1" applyFont="1" applyFill="1" applyBorder="1" applyAlignment="1">
      <alignment vertical="center"/>
    </xf>
    <xf numFmtId="166" fontId="44" fillId="2" borderId="1" xfId="1" applyFont="1" applyFill="1" applyBorder="1" applyAlignment="1">
      <alignment horizontal="left" vertical="center"/>
    </xf>
    <xf numFmtId="0" fontId="43" fillId="2" borderId="11" xfId="0" applyFont="1" applyFill="1" applyBorder="1" applyAlignment="1">
      <alignment horizontal="left"/>
    </xf>
    <xf numFmtId="0" fontId="43" fillId="2" borderId="1" xfId="0" applyFont="1" applyFill="1" applyBorder="1" applyAlignment="1">
      <alignment horizontal="center" vertical="center"/>
    </xf>
    <xf numFmtId="0" fontId="46" fillId="19" borderId="1" xfId="0" applyFont="1" applyFill="1" applyBorder="1" applyAlignment="1">
      <alignment horizontal="center" vertical="center"/>
    </xf>
    <xf numFmtId="2" fontId="43" fillId="2" borderId="1" xfId="0" applyNumberFormat="1" applyFont="1" applyFill="1" applyBorder="1" applyAlignment="1">
      <alignment horizontal="right" vertical="center"/>
    </xf>
    <xf numFmtId="0" fontId="44" fillId="9" borderId="1" xfId="0" applyFont="1" applyFill="1" applyBorder="1" applyAlignment="1">
      <alignment horizontal="center" vertical="center"/>
    </xf>
    <xf numFmtId="0" fontId="44" fillId="46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13" fillId="2" borderId="16" xfId="0" applyFont="1" applyFill="1" applyBorder="1" applyAlignment="1">
      <alignment vertical="center"/>
    </xf>
    <xf numFmtId="166" fontId="47" fillId="2" borderId="1" xfId="0" applyNumberFormat="1" applyFont="1" applyFill="1" applyBorder="1" applyAlignment="1">
      <alignment horizontal="center" vertical="center" wrapText="1"/>
    </xf>
    <xf numFmtId="10" fontId="47" fillId="2" borderId="1" xfId="10" applyNumberFormat="1" applyFont="1" applyFill="1" applyBorder="1" applyAlignment="1">
      <alignment horizontal="center" vertical="center" wrapText="1"/>
    </xf>
    <xf numFmtId="10" fontId="47" fillId="2" borderId="1" xfId="0" applyNumberFormat="1" applyFont="1" applyFill="1" applyBorder="1" applyAlignment="1">
      <alignment horizontal="center" vertical="center" wrapText="1"/>
    </xf>
    <xf numFmtId="0" fontId="13" fillId="2" borderId="14" xfId="0" applyFont="1" applyFill="1" applyBorder="1"/>
    <xf numFmtId="0" fontId="16" fillId="2" borderId="13" xfId="0" applyFont="1" applyFill="1" applyBorder="1"/>
    <xf numFmtId="0" fontId="16" fillId="2" borderId="0" xfId="0" applyFont="1" applyFill="1"/>
    <xf numFmtId="0" fontId="13" fillId="2" borderId="0" xfId="0" applyFont="1" applyFill="1" applyAlignment="1">
      <alignment horizontal="center"/>
    </xf>
    <xf numFmtId="0" fontId="13" fillId="2" borderId="0" xfId="0" applyFont="1" applyFill="1" applyAlignment="1">
      <alignment horizontal="left"/>
    </xf>
    <xf numFmtId="0" fontId="48" fillId="2" borderId="0" xfId="0" applyFont="1" applyFill="1"/>
    <xf numFmtId="0" fontId="13" fillId="8" borderId="12" xfId="0" applyFont="1" applyFill="1" applyBorder="1"/>
    <xf numFmtId="166" fontId="16" fillId="2" borderId="0" xfId="0" applyNumberFormat="1" applyFont="1" applyFill="1"/>
    <xf numFmtId="0" fontId="49" fillId="2" borderId="0" xfId="0" applyFont="1" applyFill="1" applyAlignment="1">
      <alignment horizontal="center"/>
    </xf>
    <xf numFmtId="166" fontId="13" fillId="2" borderId="0" xfId="1" applyFont="1" applyFill="1" applyAlignment="1">
      <alignment vertical="center"/>
    </xf>
    <xf numFmtId="9" fontId="13" fillId="2" borderId="0" xfId="0" applyNumberFormat="1" applyFont="1" applyFill="1" applyAlignment="1">
      <alignment vertical="center"/>
    </xf>
    <xf numFmtId="167" fontId="13" fillId="2" borderId="0" xfId="1" applyNumberFormat="1" applyFont="1" applyFill="1"/>
    <xf numFmtId="0" fontId="13" fillId="5" borderId="12" xfId="0" applyFont="1" applyFill="1" applyBorder="1"/>
    <xf numFmtId="166" fontId="13" fillId="2" borderId="0" xfId="0" applyNumberFormat="1" applyFont="1" applyFill="1" applyAlignment="1">
      <alignment horizontal="left"/>
    </xf>
    <xf numFmtId="166" fontId="13" fillId="2" borderId="0" xfId="0" applyNumberFormat="1" applyFont="1" applyFill="1"/>
    <xf numFmtId="0" fontId="44" fillId="2" borderId="0" xfId="0" applyFont="1" applyFill="1" applyAlignment="1">
      <alignment horizontal="center"/>
    </xf>
    <xf numFmtId="0" fontId="50" fillId="7" borderId="12" xfId="0" applyFont="1" applyFill="1" applyBorder="1"/>
    <xf numFmtId="14" fontId="43" fillId="2" borderId="0" xfId="0" applyNumberFormat="1" applyFont="1" applyFill="1"/>
    <xf numFmtId="0" fontId="44" fillId="2" borderId="0" xfId="0" applyFont="1" applyFill="1"/>
    <xf numFmtId="0" fontId="44" fillId="2" borderId="0" xfId="0" applyFont="1" applyFill="1" applyAlignment="1">
      <alignment horizontal="left"/>
    </xf>
    <xf numFmtId="0" fontId="43" fillId="2" borderId="0" xfId="0" applyFont="1" applyFill="1"/>
    <xf numFmtId="0" fontId="43" fillId="43" borderId="12" xfId="0" applyFont="1" applyFill="1" applyBorder="1" applyAlignment="1">
      <alignment horizontal="left"/>
    </xf>
    <xf numFmtId="166" fontId="44" fillId="2" borderId="0" xfId="1" applyFont="1" applyFill="1" applyAlignment="1">
      <alignment horizontal="center"/>
    </xf>
    <xf numFmtId="166" fontId="13" fillId="2" borderId="0" xfId="1" applyFont="1" applyFill="1"/>
    <xf numFmtId="168" fontId="16" fillId="2" borderId="0" xfId="1" applyNumberFormat="1" applyFont="1" applyFill="1" applyAlignment="1"/>
    <xf numFmtId="0" fontId="44" fillId="2" borderId="1" xfId="0" applyFont="1" applyFill="1" applyBorder="1" applyAlignment="1">
      <alignment horizontal="center" vertical="center"/>
    </xf>
    <xf numFmtId="0" fontId="44" fillId="2" borderId="1" xfId="0" applyFont="1" applyFill="1" applyBorder="1" applyAlignment="1">
      <alignment horizontal="left" vertical="center"/>
    </xf>
    <xf numFmtId="0" fontId="51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9" fontId="44" fillId="2" borderId="1" xfId="0" applyNumberFormat="1" applyFont="1" applyFill="1" applyBorder="1" applyAlignment="1">
      <alignment horizontal="center" vertical="center"/>
    </xf>
    <xf numFmtId="10" fontId="44" fillId="2" borderId="1" xfId="0" applyNumberFormat="1" applyFont="1" applyFill="1" applyBorder="1" applyAlignment="1">
      <alignment horizontal="center" vertical="center"/>
    </xf>
    <xf numFmtId="0" fontId="52" fillId="2" borderId="1" xfId="0" applyFont="1" applyFill="1" applyBorder="1" applyAlignment="1">
      <alignment vertical="center"/>
    </xf>
    <xf numFmtId="0" fontId="52" fillId="0" borderId="16" xfId="0" applyFont="1" applyBorder="1"/>
    <xf numFmtId="169" fontId="43" fillId="2" borderId="1" xfId="0" applyNumberFormat="1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horizontal="left" vertical="center"/>
    </xf>
    <xf numFmtId="0" fontId="53" fillId="2" borderId="1" xfId="0" applyFont="1" applyFill="1" applyBorder="1" applyAlignment="1">
      <alignment horizontal="center" vertical="center"/>
    </xf>
    <xf numFmtId="0" fontId="43" fillId="2" borderId="1" xfId="0" applyFont="1" applyFill="1" applyBorder="1" applyAlignment="1">
      <alignment vertical="center"/>
    </xf>
    <xf numFmtId="166" fontId="13" fillId="2" borderId="16" xfId="0" applyNumberFormat="1" applyFont="1" applyFill="1" applyBorder="1" applyAlignment="1">
      <alignment vertical="center"/>
    </xf>
    <xf numFmtId="170" fontId="43" fillId="2" borderId="1" xfId="0" quotePrefix="1" applyNumberFormat="1" applyFont="1" applyFill="1" applyBorder="1" applyAlignment="1">
      <alignment horizontal="left" vertical="center"/>
    </xf>
    <xf numFmtId="0" fontId="43" fillId="2" borderId="0" xfId="0" applyFont="1" applyFill="1" applyAlignment="1">
      <alignment vertical="center"/>
    </xf>
    <xf numFmtId="166" fontId="13" fillId="2" borderId="0" xfId="0" applyNumberFormat="1" applyFont="1" applyFill="1" applyAlignment="1">
      <alignment vertical="center"/>
    </xf>
    <xf numFmtId="0" fontId="49" fillId="2" borderId="0" xfId="0" applyFont="1" applyFill="1"/>
    <xf numFmtId="0" fontId="18" fillId="5" borderId="1" xfId="0" applyFont="1" applyFill="1" applyBorder="1" applyAlignment="1">
      <alignment horizontal="center" vertical="center"/>
    </xf>
    <xf numFmtId="179" fontId="17" fillId="0" borderId="1" xfId="0" applyNumberFormat="1" applyFont="1" applyBorder="1" applyAlignment="1">
      <alignment horizontal="center" vertical="center" wrapText="1"/>
    </xf>
    <xf numFmtId="179" fontId="17" fillId="0" borderId="15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173" fontId="17" fillId="0" borderId="0" xfId="0" applyNumberFormat="1" applyFont="1" applyAlignment="1">
      <alignment horizontal="center"/>
    </xf>
    <xf numFmtId="176" fontId="17" fillId="0" borderId="0" xfId="0" applyNumberFormat="1" applyFont="1" applyAlignment="1">
      <alignment horizontal="center"/>
    </xf>
    <xf numFmtId="174" fontId="17" fillId="0" borderId="0" xfId="0" applyNumberFormat="1" applyFont="1" applyAlignment="1">
      <alignment horizontal="center"/>
    </xf>
    <xf numFmtId="175" fontId="17" fillId="0" borderId="0" xfId="0" applyNumberFormat="1" applyFont="1" applyAlignment="1">
      <alignment horizontal="center"/>
    </xf>
    <xf numFmtId="179" fontId="17" fillId="0" borderId="1" xfId="0" applyNumberFormat="1" applyFont="1" applyBorder="1" applyAlignment="1">
      <alignment horizontal="center"/>
    </xf>
    <xf numFmtId="178" fontId="0" fillId="0" borderId="0" xfId="0" applyNumberFormat="1"/>
    <xf numFmtId="175" fontId="0" fillId="0" borderId="0" xfId="0" applyNumberFormat="1"/>
    <xf numFmtId="0" fontId="18" fillId="0" borderId="0" xfId="0" applyFont="1"/>
    <xf numFmtId="0" fontId="19" fillId="0" borderId="0" xfId="0" applyFont="1" applyAlignment="1">
      <alignment vertical="center"/>
    </xf>
    <xf numFmtId="0" fontId="39" fillId="0" borderId="0" xfId="0" applyFont="1" applyAlignment="1">
      <alignment vertical="center"/>
    </xf>
    <xf numFmtId="0" fontId="39" fillId="47" borderId="1" xfId="0" applyFont="1" applyFill="1" applyBorder="1" applyAlignment="1">
      <alignment horizontal="center" vertical="center"/>
    </xf>
    <xf numFmtId="0" fontId="39" fillId="48" borderId="1" xfId="0" applyFont="1" applyFill="1" applyBorder="1" applyAlignment="1">
      <alignment horizontal="center" vertical="center"/>
    </xf>
    <xf numFmtId="0" fontId="39" fillId="40" borderId="1" xfId="0" applyFont="1" applyFill="1" applyBorder="1" applyAlignment="1">
      <alignment horizontal="center" vertical="center"/>
    </xf>
    <xf numFmtId="180" fontId="43" fillId="2" borderId="1" xfId="0" applyNumberFormat="1" applyFont="1" applyFill="1" applyBorder="1" applyAlignment="1">
      <alignment horizontal="right" vertical="center"/>
    </xf>
    <xf numFmtId="180" fontId="44" fillId="2" borderId="1" xfId="1" applyNumberFormat="1" applyFont="1" applyFill="1" applyBorder="1" applyAlignment="1">
      <alignment horizontal="left" vertical="center"/>
    </xf>
    <xf numFmtId="180" fontId="44" fillId="2" borderId="1" xfId="1" applyNumberFormat="1" applyFont="1" applyFill="1" applyBorder="1" applyAlignment="1">
      <alignment vertical="center"/>
    </xf>
    <xf numFmtId="3" fontId="13" fillId="2" borderId="1" xfId="0" applyNumberFormat="1" applyFont="1" applyFill="1" applyBorder="1"/>
    <xf numFmtId="3" fontId="44" fillId="2" borderId="1" xfId="1" applyNumberFormat="1" applyFont="1" applyFill="1" applyBorder="1" applyAlignment="1">
      <alignment vertical="center"/>
    </xf>
    <xf numFmtId="179" fontId="17" fillId="5" borderId="15" xfId="0" applyNumberFormat="1" applyFont="1" applyFill="1" applyBorder="1" applyAlignment="1">
      <alignment horizontal="center" vertical="center" wrapText="1"/>
    </xf>
    <xf numFmtId="179" fontId="17" fillId="5" borderId="1" xfId="0" applyNumberFormat="1" applyFont="1" applyFill="1" applyBorder="1" applyAlignment="1">
      <alignment horizontal="center" vertical="center" wrapText="1"/>
    </xf>
    <xf numFmtId="0" fontId="32" fillId="11" borderId="20" xfId="0" applyFont="1" applyFill="1" applyBorder="1" applyAlignment="1">
      <alignment horizontal="center" vertical="center" wrapText="1"/>
    </xf>
    <xf numFmtId="0" fontId="32" fillId="11" borderId="21" xfId="0" applyFont="1" applyFill="1" applyBorder="1" applyAlignment="1">
      <alignment horizontal="center" vertical="center" wrapText="1"/>
    </xf>
    <xf numFmtId="0" fontId="32" fillId="11" borderId="22" xfId="0" applyFont="1" applyFill="1" applyBorder="1" applyAlignment="1">
      <alignment horizontal="center" vertical="center" wrapText="1"/>
    </xf>
    <xf numFmtId="0" fontId="29" fillId="11" borderId="23" xfId="0" applyFont="1" applyFill="1" applyBorder="1" applyAlignment="1">
      <alignment horizontal="center" vertical="center" wrapText="1"/>
    </xf>
    <xf numFmtId="0" fontId="30" fillId="12" borderId="23" xfId="0" applyFont="1" applyFill="1" applyBorder="1" applyAlignment="1">
      <alignment horizontal="center" vertical="center" wrapText="1"/>
    </xf>
    <xf numFmtId="0" fontId="30" fillId="13" borderId="23" xfId="0" applyFont="1" applyFill="1" applyBorder="1" applyAlignment="1">
      <alignment horizontal="center" vertical="center"/>
    </xf>
    <xf numFmtId="0" fontId="30" fillId="13" borderId="23" xfId="0" applyFont="1" applyFill="1" applyBorder="1" applyAlignment="1">
      <alignment horizontal="center" vertical="center" wrapText="1"/>
    </xf>
    <xf numFmtId="0" fontId="36" fillId="15" borderId="5" xfId="0" applyFont="1" applyFill="1" applyBorder="1" applyAlignment="1">
      <alignment horizontal="center" vertical="center" wrapText="1"/>
    </xf>
    <xf numFmtId="0" fontId="36" fillId="15" borderId="2" xfId="0" applyFont="1" applyFill="1" applyBorder="1" applyAlignment="1">
      <alignment horizontal="center" vertical="center" wrapText="1"/>
    </xf>
    <xf numFmtId="0" fontId="34" fillId="14" borderId="1" xfId="0" applyFont="1" applyFill="1" applyBorder="1" applyAlignment="1">
      <alignment horizontal="center" vertical="center" wrapText="1"/>
    </xf>
    <xf numFmtId="0" fontId="36" fillId="15" borderId="4" xfId="0" applyFont="1" applyFill="1" applyBorder="1" applyAlignment="1">
      <alignment horizontal="center" vertical="center" wrapText="1"/>
    </xf>
    <xf numFmtId="0" fontId="36" fillId="16" borderId="4" xfId="0" applyFont="1" applyFill="1" applyBorder="1" applyAlignment="1">
      <alignment horizontal="center" vertical="center" wrapText="1"/>
    </xf>
    <xf numFmtId="0" fontId="36" fillId="16" borderId="5" xfId="0" applyFont="1" applyFill="1" applyBorder="1" applyAlignment="1">
      <alignment horizontal="center" vertical="center" wrapText="1"/>
    </xf>
    <xf numFmtId="0" fontId="36" fillId="17" borderId="14" xfId="0" applyFont="1" applyFill="1" applyBorder="1" applyAlignment="1">
      <alignment horizontal="center" vertical="center" wrapText="1"/>
    </xf>
    <xf numFmtId="0" fontId="36" fillId="17" borderId="13" xfId="0" applyFont="1" applyFill="1" applyBorder="1" applyAlignment="1">
      <alignment horizontal="center" vertical="center" wrapText="1"/>
    </xf>
    <xf numFmtId="0" fontId="36" fillId="17" borderId="10" xfId="0" applyFont="1" applyFill="1" applyBorder="1" applyAlignment="1">
      <alignment horizontal="center" vertical="center" wrapText="1"/>
    </xf>
    <xf numFmtId="0" fontId="36" fillId="17" borderId="9" xfId="0" applyFont="1" applyFill="1" applyBorder="1" applyAlignment="1">
      <alignment horizontal="center" vertical="center" wrapText="1"/>
    </xf>
    <xf numFmtId="0" fontId="36" fillId="15" borderId="26" xfId="0" applyFont="1" applyFill="1" applyBorder="1" applyAlignment="1">
      <alignment horizontal="center" vertical="center" wrapText="1"/>
    </xf>
    <xf numFmtId="0" fontId="36" fillId="15" borderId="0" xfId="0" applyFont="1" applyFill="1" applyAlignment="1">
      <alignment horizontal="center" vertical="center" wrapText="1"/>
    </xf>
    <xf numFmtId="0" fontId="36" fillId="16" borderId="2" xfId="0" applyFont="1" applyFill="1" applyBorder="1" applyAlignment="1">
      <alignment horizontal="center" vertical="center" wrapText="1"/>
    </xf>
    <xf numFmtId="0" fontId="33" fillId="15" borderId="0" xfId="0" applyFont="1" applyFill="1" applyAlignment="1">
      <alignment horizontal="center" vertical="center" wrapText="1"/>
    </xf>
    <xf numFmtId="0" fontId="33" fillId="15" borderId="25" xfId="0" applyFont="1" applyFill="1" applyBorder="1" applyAlignment="1">
      <alignment horizontal="center" vertical="center" wrapText="1"/>
    </xf>
    <xf numFmtId="0" fontId="0" fillId="4" borderId="6" xfId="0" applyFill="1" applyBorder="1" applyAlignment="1">
      <alignment horizontal="left"/>
    </xf>
    <xf numFmtId="0" fontId="0" fillId="4" borderId="51" xfId="0" applyFill="1" applyBorder="1" applyAlignment="1">
      <alignment horizontal="left"/>
    </xf>
    <xf numFmtId="0" fontId="39" fillId="40" borderId="0" xfId="0" applyFont="1" applyFill="1" applyAlignment="1">
      <alignment horizontal="center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0" fillId="0" borderId="32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37" xfId="0" applyBorder="1" applyAlignment="1">
      <alignment horizontal="left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40" fillId="42" borderId="48" xfId="0" applyFont="1" applyFill="1" applyBorder="1" applyAlignment="1">
      <alignment horizontal="left"/>
    </xf>
    <xf numFmtId="0" fontId="40" fillId="42" borderId="49" xfId="0" applyFont="1" applyFill="1" applyBorder="1" applyAlignment="1">
      <alignment horizontal="left"/>
    </xf>
    <xf numFmtId="0" fontId="0" fillId="41" borderId="6" xfId="0" applyFill="1" applyBorder="1" applyAlignment="1">
      <alignment horizontal="left"/>
    </xf>
    <xf numFmtId="0" fontId="0" fillId="41" borderId="51" xfId="0" applyFill="1" applyBorder="1" applyAlignment="1">
      <alignment horizontal="left"/>
    </xf>
    <xf numFmtId="0" fontId="2" fillId="0" borderId="6" xfId="5" applyFont="1" applyBorder="1" applyAlignment="1">
      <alignment horizontal="center"/>
    </xf>
    <xf numFmtId="0" fontId="2" fillId="0" borderId="18" xfId="5" applyFont="1" applyBorder="1" applyAlignment="1">
      <alignment horizontal="center"/>
    </xf>
    <xf numFmtId="164" fontId="2" fillId="10" borderId="1" xfId="5" applyNumberFormat="1" applyFont="1" applyFill="1" applyBorder="1" applyAlignment="1">
      <alignment horizontal="center" vertical="center"/>
    </xf>
    <xf numFmtId="0" fontId="2" fillId="10" borderId="1" xfId="5" applyFont="1" applyFill="1" applyBorder="1" applyAlignment="1">
      <alignment horizontal="center" vertical="center"/>
    </xf>
    <xf numFmtId="0" fontId="2" fillId="0" borderId="1" xfId="5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center" vertical="center"/>
    </xf>
    <xf numFmtId="0" fontId="44" fillId="5" borderId="1" xfId="0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44" fillId="44" borderId="4" xfId="0" applyFont="1" applyFill="1" applyBorder="1" applyAlignment="1">
      <alignment horizontal="center" vertical="center" wrapText="1"/>
    </xf>
    <xf numFmtId="0" fontId="44" fillId="44" borderId="2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44" fillId="46" borderId="1" xfId="0" applyFont="1" applyFill="1" applyBorder="1" applyAlignment="1">
      <alignment horizontal="center" vertical="center" wrapText="1"/>
    </xf>
    <xf numFmtId="0" fontId="44" fillId="44" borderId="1" xfId="0" applyFont="1" applyFill="1" applyBorder="1" applyAlignment="1">
      <alignment horizontal="center" vertical="center" wrapText="1"/>
    </xf>
    <xf numFmtId="0" fontId="44" fillId="44" borderId="1" xfId="0" applyFont="1" applyFill="1" applyBorder="1" applyAlignment="1">
      <alignment horizontal="center" vertical="center"/>
    </xf>
    <xf numFmtId="0" fontId="44" fillId="46" borderId="3" xfId="0" applyFont="1" applyFill="1" applyBorder="1" applyAlignment="1">
      <alignment horizontal="center" vertical="center" wrapText="1"/>
    </xf>
    <xf numFmtId="0" fontId="44" fillId="46" borderId="15" xfId="0" applyFont="1" applyFill="1" applyBorder="1" applyAlignment="1">
      <alignment horizontal="center" vertical="center" wrapText="1"/>
    </xf>
    <xf numFmtId="0" fontId="44" fillId="45" borderId="4" xfId="0" applyFont="1" applyFill="1" applyBorder="1" applyAlignment="1">
      <alignment horizontal="center" vertical="center" wrapText="1"/>
    </xf>
    <xf numFmtId="0" fontId="44" fillId="45" borderId="2" xfId="0" applyFont="1" applyFill="1" applyBorder="1" applyAlignment="1">
      <alignment horizontal="center" vertical="center" wrapText="1"/>
    </xf>
    <xf numFmtId="0" fontId="44" fillId="46" borderId="4" xfId="0" applyFont="1" applyFill="1" applyBorder="1" applyAlignment="1">
      <alignment horizontal="center" vertical="center" wrapText="1"/>
    </xf>
    <xf numFmtId="0" fontId="44" fillId="46" borderId="2" xfId="0" applyFont="1" applyFill="1" applyBorder="1" applyAlignment="1">
      <alignment horizontal="center" vertical="center" wrapText="1"/>
    </xf>
    <xf numFmtId="0" fontId="44" fillId="3" borderId="1" xfId="0" applyFont="1" applyFill="1" applyBorder="1" applyAlignment="1">
      <alignment horizontal="center" vertical="center" wrapText="1"/>
    </xf>
    <xf numFmtId="0" fontId="44" fillId="45" borderId="1" xfId="0" applyFont="1" applyFill="1" applyBorder="1" applyAlignment="1">
      <alignment horizontal="center" vertical="center" textRotation="90" wrapText="1"/>
    </xf>
    <xf numFmtId="0" fontId="43" fillId="45" borderId="1" xfId="0" applyFont="1" applyFill="1" applyBorder="1" applyAlignment="1">
      <alignment horizontal="center" vertical="center" wrapText="1"/>
    </xf>
    <xf numFmtId="14" fontId="19" fillId="19" borderId="3" xfId="0" applyNumberFormat="1" applyFont="1" applyFill="1" applyBorder="1" applyAlignment="1">
      <alignment horizontal="center" vertical="center"/>
    </xf>
    <xf numFmtId="14" fontId="19" fillId="19" borderId="17" xfId="0" applyNumberFormat="1" applyFont="1" applyFill="1" applyBorder="1" applyAlignment="1">
      <alignment horizontal="center" vertical="center"/>
    </xf>
    <xf numFmtId="14" fontId="19" fillId="19" borderId="15" xfId="0" applyNumberFormat="1" applyFont="1" applyFill="1" applyBorder="1" applyAlignment="1">
      <alignment horizontal="center" vertical="center"/>
    </xf>
    <xf numFmtId="0" fontId="24" fillId="19" borderId="1" xfId="0" applyFont="1" applyFill="1" applyBorder="1" applyAlignment="1">
      <alignment horizontal="center" vertical="center"/>
    </xf>
    <xf numFmtId="0" fontId="18" fillId="19" borderId="1" xfId="0" applyFont="1" applyFill="1" applyBorder="1" applyAlignment="1">
      <alignment horizontal="center"/>
    </xf>
    <xf numFmtId="14" fontId="19" fillId="19" borderId="1" xfId="0" applyNumberFormat="1" applyFont="1" applyFill="1" applyBorder="1" applyAlignment="1">
      <alignment horizontal="center"/>
    </xf>
    <xf numFmtId="0" fontId="26" fillId="2" borderId="25" xfId="0" applyFont="1" applyFill="1" applyBorder="1" applyAlignment="1">
      <alignment horizontal="center"/>
    </xf>
    <xf numFmtId="0" fontId="19" fillId="19" borderId="1" xfId="0" applyFont="1" applyFill="1" applyBorder="1" applyAlignment="1">
      <alignment horizontal="center" vertical="center"/>
    </xf>
    <xf numFmtId="0" fontId="17" fillId="0" borderId="1" xfId="0" applyFont="1" applyBorder="1" applyAlignment="1">
      <alignment horizontal="left" vertical="center" wrapText="1"/>
    </xf>
    <xf numFmtId="0" fontId="17" fillId="0" borderId="14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left" vertical="center" wrapText="1"/>
    </xf>
    <xf numFmtId="0" fontId="17" fillId="0" borderId="10" xfId="0" applyFont="1" applyBorder="1" applyAlignment="1">
      <alignment horizontal="left" vertical="center" wrapText="1"/>
    </xf>
    <xf numFmtId="0" fontId="17" fillId="0" borderId="9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/>
    </xf>
    <xf numFmtId="0" fontId="19" fillId="19" borderId="4" xfId="0" applyFont="1" applyFill="1" applyBorder="1" applyAlignment="1">
      <alignment horizontal="center" vertical="center" wrapText="1"/>
    </xf>
    <xf numFmtId="0" fontId="19" fillId="19" borderId="5" xfId="0" applyFont="1" applyFill="1" applyBorder="1" applyAlignment="1">
      <alignment horizontal="center" vertical="center" wrapText="1"/>
    </xf>
    <xf numFmtId="0" fontId="19" fillId="19" borderId="2" xfId="0" applyFont="1" applyFill="1" applyBorder="1" applyAlignment="1">
      <alignment horizontal="center" vertical="center" wrapText="1"/>
    </xf>
    <xf numFmtId="14" fontId="19" fillId="5" borderId="1" xfId="0" applyNumberFormat="1" applyFont="1" applyFill="1" applyBorder="1" applyAlignment="1">
      <alignment horizontal="center"/>
    </xf>
    <xf numFmtId="14" fontId="19" fillId="5" borderId="3" xfId="0" applyNumberFormat="1" applyFont="1" applyFill="1" applyBorder="1" applyAlignment="1">
      <alignment horizontal="center" vertical="center"/>
    </xf>
    <xf numFmtId="14" fontId="19" fillId="5" borderId="17" xfId="0" applyNumberFormat="1" applyFont="1" applyFill="1" applyBorder="1" applyAlignment="1">
      <alignment horizontal="center" vertical="center"/>
    </xf>
    <xf numFmtId="14" fontId="19" fillId="5" borderId="15" xfId="0" applyNumberFormat="1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 wrapText="1"/>
    </xf>
    <xf numFmtId="14" fontId="19" fillId="19" borderId="15" xfId="0" applyNumberFormat="1" applyFont="1" applyFill="1" applyBorder="1" applyAlignment="1">
      <alignment horizontal="center"/>
    </xf>
    <xf numFmtId="0" fontId="18" fillId="19" borderId="3" xfId="0" applyFont="1" applyFill="1" applyBorder="1" applyAlignment="1">
      <alignment horizontal="center"/>
    </xf>
    <xf numFmtId="0" fontId="18" fillId="19" borderId="17" xfId="0" applyFont="1" applyFill="1" applyBorder="1" applyAlignment="1">
      <alignment horizontal="center"/>
    </xf>
    <xf numFmtId="0" fontId="18" fillId="19" borderId="15" xfId="0" applyFont="1" applyFill="1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23" fillId="19" borderId="1" xfId="0" applyFont="1" applyFill="1" applyBorder="1" applyAlignment="1">
      <alignment horizontal="center" vertical="center"/>
    </xf>
    <xf numFmtId="0" fontId="17" fillId="38" borderId="1" xfId="0" applyFont="1" applyFill="1" applyBorder="1" applyAlignment="1">
      <alignment horizontal="center" vertical="center" wrapText="1"/>
    </xf>
    <xf numFmtId="0" fontId="17" fillId="38" borderId="1" xfId="0" applyFont="1" applyFill="1" applyBorder="1" applyAlignment="1">
      <alignment horizontal="center" vertical="center"/>
    </xf>
    <xf numFmtId="0" fontId="17" fillId="28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17" fillId="36" borderId="1" xfId="0" applyFont="1" applyFill="1" applyBorder="1" applyAlignment="1">
      <alignment horizontal="center" vertical="center"/>
    </xf>
    <xf numFmtId="0" fontId="17" fillId="8" borderId="1" xfId="0" applyFont="1" applyFill="1" applyBorder="1" applyAlignment="1">
      <alignment horizontal="center" vertical="center"/>
    </xf>
    <xf numFmtId="0" fontId="17" fillId="26" borderId="1" xfId="0" applyFont="1" applyFill="1" applyBorder="1" applyAlignment="1">
      <alignment horizontal="center" vertical="center"/>
    </xf>
    <xf numFmtId="0" fontId="27" fillId="19" borderId="1" xfId="0" applyFont="1" applyFill="1" applyBorder="1" applyAlignment="1">
      <alignment horizontal="center" vertical="center"/>
    </xf>
    <xf numFmtId="0" fontId="17" fillId="32" borderId="1" xfId="0" applyFont="1" applyFill="1" applyBorder="1" applyAlignment="1">
      <alignment horizontal="center" vertical="center"/>
    </xf>
    <xf numFmtId="0" fontId="17" fillId="31" borderId="1" xfId="0" applyFont="1" applyFill="1" applyBorder="1" applyAlignment="1">
      <alignment horizontal="center" vertical="center"/>
    </xf>
  </cellXfs>
  <cellStyles count="13">
    <cellStyle name="Cancel" xfId="2" xr:uid="{00000000-0005-0000-0000-000000000000}"/>
    <cellStyle name="Hipervínculo" xfId="9" builtinId="8"/>
    <cellStyle name="Millares" xfId="1" builtinId="3"/>
    <cellStyle name="Millares 2" xfId="3" xr:uid="{00000000-0005-0000-0000-000003000000}"/>
    <cellStyle name="Millares 2 2" xfId="12" xr:uid="{00000000-0005-0000-0000-000004000000}"/>
    <cellStyle name="Moneda 2" xfId="8" xr:uid="{00000000-0005-0000-0000-000005000000}"/>
    <cellStyle name="Normal" xfId="0" builtinId="0"/>
    <cellStyle name="Normal 13" xfId="4" xr:uid="{00000000-0005-0000-0000-000007000000}"/>
    <cellStyle name="Normal 2" xfId="5" xr:uid="{00000000-0005-0000-0000-000008000000}"/>
    <cellStyle name="Normal 3" xfId="11" xr:uid="{00000000-0005-0000-0000-000009000000}"/>
    <cellStyle name="Normal 3 2" xfId="6" xr:uid="{00000000-0005-0000-0000-00000A000000}"/>
    <cellStyle name="Normal 4 2" xfId="7" xr:uid="{00000000-0005-0000-0000-00000B000000}"/>
    <cellStyle name="Porcentaje" xfId="10" builtinId="5"/>
  </cellStyles>
  <dxfs count="26"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color theme="0"/>
      </font>
      <fill>
        <patternFill>
          <bgColor theme="6"/>
        </patternFill>
      </fill>
    </dxf>
    <dxf>
      <font>
        <b/>
        <i val="0"/>
        <color theme="0"/>
      </font>
      <fill>
        <patternFill>
          <bgColor rgb="FF00206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</font>
      <fill>
        <patternFill>
          <bgColor rgb="FFFFFF00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theme="0" tint="-4.9989318521683403E-2"/>
        </patternFill>
      </fill>
    </dxf>
    <dxf>
      <font>
        <b/>
        <i val="0"/>
      </font>
      <fill>
        <patternFill>
          <bgColor theme="7" tint="0.59996337778862885"/>
        </patternFill>
      </fill>
    </dxf>
    <dxf>
      <font>
        <b/>
        <i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00B0F0"/>
        </patternFill>
      </fill>
    </dxf>
    <dxf>
      <font>
        <b/>
        <i val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FF00FF"/>
      <color rgb="FFFFE565"/>
      <color rgb="FFFFFF63"/>
      <color rgb="FFFFFF99"/>
      <color rgb="FFA90F97"/>
      <color rgb="FFFF1DEF"/>
      <color rgb="FFFF9B9B"/>
      <color rgb="FFFF9FF8"/>
      <color rgb="FF57FFA3"/>
      <color rgb="FFF0424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312420</xdr:colOff>
      <xdr:row>12</xdr:row>
      <xdr:rowOff>144780</xdr:rowOff>
    </xdr:to>
    <xdr:sp macro="" textlink="">
      <xdr:nvSpPr>
        <xdr:cNvPr id="2" name="AutoShape 404" descr="https://mail.google.com/mail/u/0?ui=2&amp;ik=6fe5fbb28a&amp;attid=0.1&amp;permmsgid=msg-f:1662983704592882694&amp;th=17141ade53859c06&amp;view=fimg&amp;sz=s0-l75-ft&amp;attbid=ANGjdJ-7OeeVw4f8UwtgkfCucbFAX3cFvLUOA-z7AjiksfZM-yUg_M4uIpwAZCTx-qJISU3mprym9C0bjMeWDtQn53I-ql1ZzYfDPIw8nLf2dwcmsgtFFWnzGY4vHmU&amp;disp=emb">
          <a:extLst>
            <a:ext uri="{FF2B5EF4-FFF2-40B4-BE49-F238E27FC236}">
              <a16:creationId xmlns:a16="http://schemas.microsoft.com/office/drawing/2014/main" id="{FBC17942-47E8-4694-92D5-C57868BB8D77}"/>
            </a:ext>
          </a:extLst>
        </xdr:cNvPr>
        <xdr:cNvSpPr>
          <a:spLocks noChangeAspect="1" noChangeArrowheads="1"/>
        </xdr:cNvSpPr>
      </xdr:nvSpPr>
      <xdr:spPr bwMode="auto">
        <a:xfrm>
          <a:off x="784860" y="3474720"/>
          <a:ext cx="312420" cy="312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53DDA56-3EFB-4EB2-8D61-E94F87BB9FAB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EFA1AB4F-B62A-4F67-A91A-11DE32D6A8EB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4" name="Text Box 1">
          <a:extLst>
            <a:ext uri="{FF2B5EF4-FFF2-40B4-BE49-F238E27FC236}">
              <a16:creationId xmlns:a16="http://schemas.microsoft.com/office/drawing/2014/main" id="{BC863CD4-37CB-4553-A571-5D054BD6043E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5" name="Text Box 1">
          <a:extLst>
            <a:ext uri="{FF2B5EF4-FFF2-40B4-BE49-F238E27FC236}">
              <a16:creationId xmlns:a16="http://schemas.microsoft.com/office/drawing/2014/main" id="{5A2B2985-A0CD-46A1-A175-45887CE606C6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DAED74FE-01DB-482A-9909-4F406F827FC1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7" name="Text Box 1">
          <a:extLst>
            <a:ext uri="{FF2B5EF4-FFF2-40B4-BE49-F238E27FC236}">
              <a16:creationId xmlns:a16="http://schemas.microsoft.com/office/drawing/2014/main" id="{029B1101-405C-4501-A89C-B1065F01A3CB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8" name="Text Box 1">
          <a:extLst>
            <a:ext uri="{FF2B5EF4-FFF2-40B4-BE49-F238E27FC236}">
              <a16:creationId xmlns:a16="http://schemas.microsoft.com/office/drawing/2014/main" id="{8025A78E-94E3-4681-BFD4-05F1E11A6BB7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11</xdr:row>
      <xdr:rowOff>0</xdr:rowOff>
    </xdr:from>
    <xdr:to>
      <xdr:col>15</xdr:col>
      <xdr:colOff>76200</xdr:colOff>
      <xdr:row>11</xdr:row>
      <xdr:rowOff>137160</xdr:rowOff>
    </xdr:to>
    <xdr:sp macro="" textlink="">
      <xdr:nvSpPr>
        <xdr:cNvPr id="9" name="Text Box 1">
          <a:extLst>
            <a:ext uri="{FF2B5EF4-FFF2-40B4-BE49-F238E27FC236}">
              <a16:creationId xmlns:a16="http://schemas.microsoft.com/office/drawing/2014/main" id="{DF753E0C-384F-4081-9292-E2C5A92F2886}"/>
            </a:ext>
          </a:extLst>
        </xdr:cNvPr>
        <xdr:cNvSpPr txBox="1">
          <a:spLocks noChangeArrowheads="1"/>
        </xdr:cNvSpPr>
      </xdr:nvSpPr>
      <xdr:spPr>
        <a:xfrm>
          <a:off x="3743325" y="22193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0" name="Text Box 1">
          <a:extLst>
            <a:ext uri="{FF2B5EF4-FFF2-40B4-BE49-F238E27FC236}">
              <a16:creationId xmlns:a16="http://schemas.microsoft.com/office/drawing/2014/main" id="{40959BAD-5703-4A3D-B5BA-D2FEE4A39A01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1" name="Text Box 1">
          <a:extLst>
            <a:ext uri="{FF2B5EF4-FFF2-40B4-BE49-F238E27FC236}">
              <a16:creationId xmlns:a16="http://schemas.microsoft.com/office/drawing/2014/main" id="{2B2AB087-54CB-4058-92E0-1883555B84CB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2" name="Text Box 1">
          <a:extLst>
            <a:ext uri="{FF2B5EF4-FFF2-40B4-BE49-F238E27FC236}">
              <a16:creationId xmlns:a16="http://schemas.microsoft.com/office/drawing/2014/main" id="{BC3C57A3-3979-4C52-856E-261587AF8D3C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3" name="Text Box 1">
          <a:extLst>
            <a:ext uri="{FF2B5EF4-FFF2-40B4-BE49-F238E27FC236}">
              <a16:creationId xmlns:a16="http://schemas.microsoft.com/office/drawing/2014/main" id="{AE2C5DF5-97D1-43EB-9E1F-FAA8ACB2B08A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4" name="Text Box 1">
          <a:extLst>
            <a:ext uri="{FF2B5EF4-FFF2-40B4-BE49-F238E27FC236}">
              <a16:creationId xmlns:a16="http://schemas.microsoft.com/office/drawing/2014/main" id="{77EEC8DC-A84D-4BC8-80B7-F21CB851E87F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5" name="Text Box 1">
          <a:extLst>
            <a:ext uri="{FF2B5EF4-FFF2-40B4-BE49-F238E27FC236}">
              <a16:creationId xmlns:a16="http://schemas.microsoft.com/office/drawing/2014/main" id="{B22FCBA9-6790-4CE5-84E4-E9628B4F13BF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6" name="Text Box 1">
          <a:extLst>
            <a:ext uri="{FF2B5EF4-FFF2-40B4-BE49-F238E27FC236}">
              <a16:creationId xmlns:a16="http://schemas.microsoft.com/office/drawing/2014/main" id="{8D25FE20-EA34-43BC-B163-85DDBCC69E78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18</xdr:row>
      <xdr:rowOff>0</xdr:rowOff>
    </xdr:from>
    <xdr:to>
      <xdr:col>15</xdr:col>
      <xdr:colOff>76200</xdr:colOff>
      <xdr:row>18</xdr:row>
      <xdr:rowOff>137160</xdr:rowOff>
    </xdr:to>
    <xdr:sp macro="" textlink="">
      <xdr:nvSpPr>
        <xdr:cNvPr id="17" name="Text Box 1">
          <a:extLst>
            <a:ext uri="{FF2B5EF4-FFF2-40B4-BE49-F238E27FC236}">
              <a16:creationId xmlns:a16="http://schemas.microsoft.com/office/drawing/2014/main" id="{40D21C61-5247-449F-B0AF-16435446496F}"/>
            </a:ext>
          </a:extLst>
        </xdr:cNvPr>
        <xdr:cNvSpPr txBox="1">
          <a:spLocks noChangeArrowheads="1"/>
        </xdr:cNvSpPr>
      </xdr:nvSpPr>
      <xdr:spPr>
        <a:xfrm>
          <a:off x="3743325" y="368617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18" name="Text Box 1">
          <a:extLst>
            <a:ext uri="{FF2B5EF4-FFF2-40B4-BE49-F238E27FC236}">
              <a16:creationId xmlns:a16="http://schemas.microsoft.com/office/drawing/2014/main" id="{377FDA10-2847-44B9-B8AC-427F66048423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19" name="Text Box 1">
          <a:extLst>
            <a:ext uri="{FF2B5EF4-FFF2-40B4-BE49-F238E27FC236}">
              <a16:creationId xmlns:a16="http://schemas.microsoft.com/office/drawing/2014/main" id="{5F883309-1CCC-4350-80A4-1552870A0C15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20" name="Text Box 1">
          <a:extLst>
            <a:ext uri="{FF2B5EF4-FFF2-40B4-BE49-F238E27FC236}">
              <a16:creationId xmlns:a16="http://schemas.microsoft.com/office/drawing/2014/main" id="{6FB7B0C0-A771-4D10-8AD1-DB725C5C794A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21" name="Text Box 1">
          <a:extLst>
            <a:ext uri="{FF2B5EF4-FFF2-40B4-BE49-F238E27FC236}">
              <a16:creationId xmlns:a16="http://schemas.microsoft.com/office/drawing/2014/main" id="{066DE06F-5B20-4AE0-8EE8-B9FE89595998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22" name="Text Box 1">
          <a:extLst>
            <a:ext uri="{FF2B5EF4-FFF2-40B4-BE49-F238E27FC236}">
              <a16:creationId xmlns:a16="http://schemas.microsoft.com/office/drawing/2014/main" id="{957363AE-E3A3-4FF4-B50D-E00932AE2259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23" name="Text Box 1">
          <a:extLst>
            <a:ext uri="{FF2B5EF4-FFF2-40B4-BE49-F238E27FC236}">
              <a16:creationId xmlns:a16="http://schemas.microsoft.com/office/drawing/2014/main" id="{6E3D7B54-F671-4D68-883B-55841EA3BB1A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24" name="Text Box 1">
          <a:extLst>
            <a:ext uri="{FF2B5EF4-FFF2-40B4-BE49-F238E27FC236}">
              <a16:creationId xmlns:a16="http://schemas.microsoft.com/office/drawing/2014/main" id="{39D5C357-0B5D-4B0E-96DE-486A58FA6BF1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13</xdr:row>
      <xdr:rowOff>0</xdr:rowOff>
    </xdr:from>
    <xdr:ext cx="76200" cy="137160"/>
    <xdr:sp macro="" textlink="">
      <xdr:nvSpPr>
        <xdr:cNvPr id="25" name="Text Box 1">
          <a:extLst>
            <a:ext uri="{FF2B5EF4-FFF2-40B4-BE49-F238E27FC236}">
              <a16:creationId xmlns:a16="http://schemas.microsoft.com/office/drawing/2014/main" id="{6A472F4E-B7C2-4664-B0B2-D14A87C28065}"/>
            </a:ext>
          </a:extLst>
        </xdr:cNvPr>
        <xdr:cNvSpPr txBox="1">
          <a:spLocks noChangeArrowheads="1"/>
        </xdr:cNvSpPr>
      </xdr:nvSpPr>
      <xdr:spPr>
        <a:xfrm>
          <a:off x="3743325" y="26384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26" name="Text Box 1">
          <a:extLst>
            <a:ext uri="{FF2B5EF4-FFF2-40B4-BE49-F238E27FC236}">
              <a16:creationId xmlns:a16="http://schemas.microsoft.com/office/drawing/2014/main" id="{3A5C9112-1065-4435-9FC3-8B78F0BBF3FE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27" name="Text Box 1">
          <a:extLst>
            <a:ext uri="{FF2B5EF4-FFF2-40B4-BE49-F238E27FC236}">
              <a16:creationId xmlns:a16="http://schemas.microsoft.com/office/drawing/2014/main" id="{F86C8D73-8FB7-4BAF-96CB-DDE0A745DD61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28" name="Text Box 1">
          <a:extLst>
            <a:ext uri="{FF2B5EF4-FFF2-40B4-BE49-F238E27FC236}">
              <a16:creationId xmlns:a16="http://schemas.microsoft.com/office/drawing/2014/main" id="{281EB557-349B-46AF-A0F0-3AF7AC7E4A9C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29" name="Text Box 1">
          <a:extLst>
            <a:ext uri="{FF2B5EF4-FFF2-40B4-BE49-F238E27FC236}">
              <a16:creationId xmlns:a16="http://schemas.microsoft.com/office/drawing/2014/main" id="{4E77C40F-9D57-40D4-8139-539420E3700B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30" name="Text Box 1">
          <a:extLst>
            <a:ext uri="{FF2B5EF4-FFF2-40B4-BE49-F238E27FC236}">
              <a16:creationId xmlns:a16="http://schemas.microsoft.com/office/drawing/2014/main" id="{D4148090-96BF-43F6-A026-8D3B38DAEDAF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31" name="Text Box 1">
          <a:extLst>
            <a:ext uri="{FF2B5EF4-FFF2-40B4-BE49-F238E27FC236}">
              <a16:creationId xmlns:a16="http://schemas.microsoft.com/office/drawing/2014/main" id="{50AF4CCC-F8C7-412F-B90C-FE5BAD22D090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32" name="Text Box 1">
          <a:extLst>
            <a:ext uri="{FF2B5EF4-FFF2-40B4-BE49-F238E27FC236}">
              <a16:creationId xmlns:a16="http://schemas.microsoft.com/office/drawing/2014/main" id="{55903C47-3485-4F69-9467-182475017FCB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2</xdr:col>
      <xdr:colOff>0</xdr:colOff>
      <xdr:row>26</xdr:row>
      <xdr:rowOff>0</xdr:rowOff>
    </xdr:from>
    <xdr:ext cx="76200" cy="137160"/>
    <xdr:sp macro="" textlink="">
      <xdr:nvSpPr>
        <xdr:cNvPr id="33" name="Text Box 1">
          <a:extLst>
            <a:ext uri="{FF2B5EF4-FFF2-40B4-BE49-F238E27FC236}">
              <a16:creationId xmlns:a16="http://schemas.microsoft.com/office/drawing/2014/main" id="{0D1B66F9-1ACE-4ED4-9707-CD2F8BC5A2E1}"/>
            </a:ext>
          </a:extLst>
        </xdr:cNvPr>
        <xdr:cNvSpPr txBox="1">
          <a:spLocks noChangeArrowheads="1"/>
        </xdr:cNvSpPr>
      </xdr:nvSpPr>
      <xdr:spPr>
        <a:xfrm>
          <a:off x="3743325" y="6600825"/>
          <a:ext cx="76200" cy="137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bs.gob.pe/app/spp/empleadores/comisiones_spp/Paginas/comision_prima.aspx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99"/>
  </sheetPr>
  <dimension ref="A1:O34"/>
  <sheetViews>
    <sheetView zoomScale="80" zoomScaleNormal="80" workbookViewId="0">
      <selection activeCell="D15" sqref="D15"/>
    </sheetView>
  </sheetViews>
  <sheetFormatPr baseColWidth="10" defaultColWidth="10.7109375" defaultRowHeight="15" x14ac:dyDescent="0.25"/>
  <cols>
    <col min="1" max="1" width="8.140625" bestFit="1" customWidth="1"/>
    <col min="2" max="2" width="23.7109375" customWidth="1"/>
    <col min="3" max="3" width="11.85546875" customWidth="1"/>
    <col min="4" max="4" width="35.5703125" customWidth="1"/>
    <col min="5" max="5" width="30" customWidth="1"/>
    <col min="6" max="6" width="14" customWidth="1"/>
    <col min="7" max="7" width="19.5703125" customWidth="1"/>
    <col min="8" max="8" width="30" customWidth="1"/>
    <col min="9" max="9" width="16" customWidth="1"/>
    <col min="10" max="37" width="10.7109375" customWidth="1"/>
    <col min="249" max="249" width="7.28515625" customWidth="1"/>
    <col min="250" max="250" width="18.140625" customWidth="1"/>
    <col min="256" max="256" width="12.28515625" customWidth="1"/>
    <col min="505" max="505" width="7.28515625" customWidth="1"/>
    <col min="506" max="506" width="18.140625" customWidth="1"/>
    <col min="512" max="512" width="12.28515625" customWidth="1"/>
    <col min="761" max="761" width="7.28515625" customWidth="1"/>
    <col min="762" max="762" width="18.140625" customWidth="1"/>
    <col min="768" max="768" width="12.28515625" customWidth="1"/>
    <col min="1017" max="1017" width="7.28515625" customWidth="1"/>
    <col min="1018" max="1018" width="18.140625" customWidth="1"/>
    <col min="1024" max="1024" width="12.28515625" customWidth="1"/>
    <col min="1273" max="1273" width="7.28515625" customWidth="1"/>
    <col min="1274" max="1274" width="18.140625" customWidth="1"/>
    <col min="1280" max="1280" width="12.28515625" customWidth="1"/>
    <col min="1529" max="1529" width="7.28515625" customWidth="1"/>
    <col min="1530" max="1530" width="18.140625" customWidth="1"/>
    <col min="1536" max="1536" width="12.28515625" customWidth="1"/>
    <col min="1785" max="1785" width="7.28515625" customWidth="1"/>
    <col min="1786" max="1786" width="18.140625" customWidth="1"/>
    <col min="1792" max="1792" width="12.28515625" customWidth="1"/>
    <col min="2041" max="2041" width="7.28515625" customWidth="1"/>
    <col min="2042" max="2042" width="18.140625" customWidth="1"/>
    <col min="2048" max="2048" width="12.28515625" customWidth="1"/>
    <col min="2297" max="2297" width="7.28515625" customWidth="1"/>
    <col min="2298" max="2298" width="18.140625" customWidth="1"/>
    <col min="2304" max="2304" width="12.28515625" customWidth="1"/>
    <col min="2553" max="2553" width="7.28515625" customWidth="1"/>
    <col min="2554" max="2554" width="18.140625" customWidth="1"/>
    <col min="2560" max="2560" width="12.28515625" customWidth="1"/>
    <col min="2809" max="2809" width="7.28515625" customWidth="1"/>
    <col min="2810" max="2810" width="18.140625" customWidth="1"/>
    <col min="2816" max="2816" width="12.28515625" customWidth="1"/>
    <col min="3065" max="3065" width="7.28515625" customWidth="1"/>
    <col min="3066" max="3066" width="18.140625" customWidth="1"/>
    <col min="3072" max="3072" width="12.28515625" customWidth="1"/>
    <col min="3321" max="3321" width="7.28515625" customWidth="1"/>
    <col min="3322" max="3322" width="18.140625" customWidth="1"/>
    <col min="3328" max="3328" width="12.28515625" customWidth="1"/>
    <col min="3577" max="3577" width="7.28515625" customWidth="1"/>
    <col min="3578" max="3578" width="18.140625" customWidth="1"/>
    <col min="3584" max="3584" width="12.28515625" customWidth="1"/>
    <col min="3833" max="3833" width="7.28515625" customWidth="1"/>
    <col min="3834" max="3834" width="18.140625" customWidth="1"/>
    <col min="3840" max="3840" width="12.28515625" customWidth="1"/>
    <col min="4089" max="4089" width="7.28515625" customWidth="1"/>
    <col min="4090" max="4090" width="18.140625" customWidth="1"/>
    <col min="4096" max="4096" width="12.28515625" customWidth="1"/>
    <col min="4345" max="4345" width="7.28515625" customWidth="1"/>
    <col min="4346" max="4346" width="18.140625" customWidth="1"/>
    <col min="4352" max="4352" width="12.28515625" customWidth="1"/>
    <col min="4601" max="4601" width="7.28515625" customWidth="1"/>
    <col min="4602" max="4602" width="18.140625" customWidth="1"/>
    <col min="4608" max="4608" width="12.28515625" customWidth="1"/>
    <col min="4857" max="4857" width="7.28515625" customWidth="1"/>
    <col min="4858" max="4858" width="18.140625" customWidth="1"/>
    <col min="4864" max="4864" width="12.28515625" customWidth="1"/>
    <col min="5113" max="5113" width="7.28515625" customWidth="1"/>
    <col min="5114" max="5114" width="18.140625" customWidth="1"/>
    <col min="5120" max="5120" width="12.28515625" customWidth="1"/>
    <col min="5369" max="5369" width="7.28515625" customWidth="1"/>
    <col min="5370" max="5370" width="18.140625" customWidth="1"/>
    <col min="5376" max="5376" width="12.28515625" customWidth="1"/>
    <col min="5625" max="5625" width="7.28515625" customWidth="1"/>
    <col min="5626" max="5626" width="18.140625" customWidth="1"/>
    <col min="5632" max="5632" width="12.28515625" customWidth="1"/>
    <col min="5881" max="5881" width="7.28515625" customWidth="1"/>
    <col min="5882" max="5882" width="18.140625" customWidth="1"/>
    <col min="5888" max="5888" width="12.28515625" customWidth="1"/>
    <col min="6137" max="6137" width="7.28515625" customWidth="1"/>
    <col min="6138" max="6138" width="18.140625" customWidth="1"/>
    <col min="6144" max="6144" width="12.28515625" customWidth="1"/>
    <col min="6393" max="6393" width="7.28515625" customWidth="1"/>
    <col min="6394" max="6394" width="18.140625" customWidth="1"/>
    <col min="6400" max="6400" width="12.28515625" customWidth="1"/>
    <col min="6649" max="6649" width="7.28515625" customWidth="1"/>
    <col min="6650" max="6650" width="18.140625" customWidth="1"/>
    <col min="6656" max="6656" width="12.28515625" customWidth="1"/>
    <col min="6905" max="6905" width="7.28515625" customWidth="1"/>
    <col min="6906" max="6906" width="18.140625" customWidth="1"/>
    <col min="6912" max="6912" width="12.28515625" customWidth="1"/>
    <col min="7161" max="7161" width="7.28515625" customWidth="1"/>
    <col min="7162" max="7162" width="18.140625" customWidth="1"/>
    <col min="7168" max="7168" width="12.28515625" customWidth="1"/>
    <col min="7417" max="7417" width="7.28515625" customWidth="1"/>
    <col min="7418" max="7418" width="18.140625" customWidth="1"/>
    <col min="7424" max="7424" width="12.28515625" customWidth="1"/>
    <col min="7673" max="7673" width="7.28515625" customWidth="1"/>
    <col min="7674" max="7674" width="18.140625" customWidth="1"/>
    <col min="7680" max="7680" width="12.28515625" customWidth="1"/>
    <col min="7929" max="7929" width="7.28515625" customWidth="1"/>
    <col min="7930" max="7930" width="18.140625" customWidth="1"/>
    <col min="7936" max="7936" width="12.28515625" customWidth="1"/>
    <col min="8185" max="8185" width="7.28515625" customWidth="1"/>
    <col min="8186" max="8186" width="18.140625" customWidth="1"/>
    <col min="8192" max="8192" width="12.28515625" customWidth="1"/>
    <col min="8441" max="8441" width="7.28515625" customWidth="1"/>
    <col min="8442" max="8442" width="18.140625" customWidth="1"/>
    <col min="8448" max="8448" width="12.28515625" customWidth="1"/>
    <col min="8697" max="8697" width="7.28515625" customWidth="1"/>
    <col min="8698" max="8698" width="18.140625" customWidth="1"/>
    <col min="8704" max="8704" width="12.28515625" customWidth="1"/>
    <col min="8953" max="8953" width="7.28515625" customWidth="1"/>
    <col min="8954" max="8954" width="18.140625" customWidth="1"/>
    <col min="8960" max="8960" width="12.28515625" customWidth="1"/>
    <col min="9209" max="9209" width="7.28515625" customWidth="1"/>
    <col min="9210" max="9210" width="18.140625" customWidth="1"/>
    <col min="9216" max="9216" width="12.28515625" customWidth="1"/>
    <col min="9465" max="9465" width="7.28515625" customWidth="1"/>
    <col min="9466" max="9466" width="18.140625" customWidth="1"/>
    <col min="9472" max="9472" width="12.28515625" customWidth="1"/>
    <col min="9721" max="9721" width="7.28515625" customWidth="1"/>
    <col min="9722" max="9722" width="18.140625" customWidth="1"/>
    <col min="9728" max="9728" width="12.28515625" customWidth="1"/>
    <col min="9977" max="9977" width="7.28515625" customWidth="1"/>
    <col min="9978" max="9978" width="18.140625" customWidth="1"/>
    <col min="9984" max="9984" width="12.28515625" customWidth="1"/>
    <col min="10233" max="10233" width="7.28515625" customWidth="1"/>
    <col min="10234" max="10234" width="18.140625" customWidth="1"/>
    <col min="10240" max="10240" width="12.28515625" customWidth="1"/>
    <col min="10489" max="10489" width="7.28515625" customWidth="1"/>
    <col min="10490" max="10490" width="18.140625" customWidth="1"/>
    <col min="10496" max="10496" width="12.28515625" customWidth="1"/>
    <col min="10745" max="10745" width="7.28515625" customWidth="1"/>
    <col min="10746" max="10746" width="18.140625" customWidth="1"/>
    <col min="10752" max="10752" width="12.28515625" customWidth="1"/>
    <col min="11001" max="11001" width="7.28515625" customWidth="1"/>
    <col min="11002" max="11002" width="18.140625" customWidth="1"/>
    <col min="11008" max="11008" width="12.28515625" customWidth="1"/>
    <col min="11257" max="11257" width="7.28515625" customWidth="1"/>
    <col min="11258" max="11258" width="18.140625" customWidth="1"/>
    <col min="11264" max="11264" width="12.28515625" customWidth="1"/>
    <col min="11513" max="11513" width="7.28515625" customWidth="1"/>
    <col min="11514" max="11514" width="18.140625" customWidth="1"/>
    <col min="11520" max="11520" width="12.28515625" customWidth="1"/>
    <col min="11769" max="11769" width="7.28515625" customWidth="1"/>
    <col min="11770" max="11770" width="18.140625" customWidth="1"/>
    <col min="11776" max="11776" width="12.28515625" customWidth="1"/>
    <col min="12025" max="12025" width="7.28515625" customWidth="1"/>
    <col min="12026" max="12026" width="18.140625" customWidth="1"/>
    <col min="12032" max="12032" width="12.28515625" customWidth="1"/>
    <col min="12281" max="12281" width="7.28515625" customWidth="1"/>
    <col min="12282" max="12282" width="18.140625" customWidth="1"/>
    <col min="12288" max="12288" width="12.28515625" customWidth="1"/>
    <col min="12537" max="12537" width="7.28515625" customWidth="1"/>
    <col min="12538" max="12538" width="18.140625" customWidth="1"/>
    <col min="12544" max="12544" width="12.28515625" customWidth="1"/>
    <col min="12793" max="12793" width="7.28515625" customWidth="1"/>
    <col min="12794" max="12794" width="18.140625" customWidth="1"/>
    <col min="12800" max="12800" width="12.28515625" customWidth="1"/>
    <col min="13049" max="13049" width="7.28515625" customWidth="1"/>
    <col min="13050" max="13050" width="18.140625" customWidth="1"/>
    <col min="13056" max="13056" width="12.28515625" customWidth="1"/>
    <col min="13305" max="13305" width="7.28515625" customWidth="1"/>
    <col min="13306" max="13306" width="18.140625" customWidth="1"/>
    <col min="13312" max="13312" width="12.28515625" customWidth="1"/>
    <col min="13561" max="13561" width="7.28515625" customWidth="1"/>
    <col min="13562" max="13562" width="18.140625" customWidth="1"/>
    <col min="13568" max="13568" width="12.28515625" customWidth="1"/>
    <col min="13817" max="13817" width="7.28515625" customWidth="1"/>
    <col min="13818" max="13818" width="18.140625" customWidth="1"/>
    <col min="13824" max="13824" width="12.28515625" customWidth="1"/>
    <col min="14073" max="14073" width="7.28515625" customWidth="1"/>
    <col min="14074" max="14074" width="18.140625" customWidth="1"/>
    <col min="14080" max="14080" width="12.28515625" customWidth="1"/>
    <col min="14329" max="14329" width="7.28515625" customWidth="1"/>
    <col min="14330" max="14330" width="18.140625" customWidth="1"/>
    <col min="14336" max="14336" width="12.28515625" customWidth="1"/>
    <col min="14585" max="14585" width="7.28515625" customWidth="1"/>
    <col min="14586" max="14586" width="18.140625" customWidth="1"/>
    <col min="14592" max="14592" width="12.28515625" customWidth="1"/>
    <col min="14841" max="14841" width="7.28515625" customWidth="1"/>
    <col min="14842" max="14842" width="18.140625" customWidth="1"/>
    <col min="14848" max="14848" width="12.28515625" customWidth="1"/>
    <col min="15097" max="15097" width="7.28515625" customWidth="1"/>
    <col min="15098" max="15098" width="18.140625" customWidth="1"/>
    <col min="15104" max="15104" width="12.28515625" customWidth="1"/>
    <col min="15353" max="15353" width="7.28515625" customWidth="1"/>
    <col min="15354" max="15354" width="18.140625" customWidth="1"/>
    <col min="15360" max="15360" width="12.28515625" customWidth="1"/>
    <col min="15609" max="15609" width="7.28515625" customWidth="1"/>
    <col min="15610" max="15610" width="18.140625" customWidth="1"/>
    <col min="15616" max="15616" width="12.28515625" customWidth="1"/>
    <col min="15865" max="15865" width="7.28515625" customWidth="1"/>
    <col min="15866" max="15866" width="18.140625" customWidth="1"/>
    <col min="15872" max="15872" width="12.28515625" customWidth="1"/>
    <col min="16121" max="16121" width="7.28515625" customWidth="1"/>
    <col min="16122" max="16122" width="18.140625" customWidth="1"/>
    <col min="16128" max="16128" width="12.28515625" customWidth="1"/>
  </cols>
  <sheetData>
    <row r="1" spans="1:15" ht="21" customHeight="1" x14ac:dyDescent="0.3">
      <c r="E1" s="93" t="s">
        <v>103</v>
      </c>
    </row>
    <row r="2" spans="1:15" ht="20.25" x14ac:dyDescent="0.25">
      <c r="A2" s="261" t="s">
        <v>104</v>
      </c>
      <c r="B2" s="262"/>
      <c r="C2" s="262"/>
      <c r="D2" s="262"/>
      <c r="E2" s="262"/>
      <c r="F2" s="262"/>
      <c r="G2" s="262"/>
      <c r="H2" s="262"/>
      <c r="I2" s="263"/>
    </row>
    <row r="3" spans="1:15" ht="26.25" customHeight="1" x14ac:dyDescent="0.25">
      <c r="A3" s="264" t="s">
        <v>72</v>
      </c>
      <c r="B3" s="264" t="s">
        <v>81</v>
      </c>
      <c r="C3" s="265" t="s">
        <v>105</v>
      </c>
      <c r="D3" s="266" t="s">
        <v>106</v>
      </c>
      <c r="E3" s="266"/>
      <c r="F3" s="267" t="s">
        <v>107</v>
      </c>
      <c r="G3" s="267" t="s">
        <v>108</v>
      </c>
      <c r="H3" s="264" t="s">
        <v>173</v>
      </c>
      <c r="I3" s="264" t="s">
        <v>102</v>
      </c>
    </row>
    <row r="4" spans="1:15" ht="62.25" customHeight="1" x14ac:dyDescent="0.25">
      <c r="A4" s="264"/>
      <c r="B4" s="264"/>
      <c r="C4" s="265"/>
      <c r="D4" s="92" t="s">
        <v>109</v>
      </c>
      <c r="E4" s="92" t="s">
        <v>110</v>
      </c>
      <c r="F4" s="267"/>
      <c r="G4" s="267"/>
      <c r="H4" s="264"/>
      <c r="I4" s="264"/>
    </row>
    <row r="5" spans="1:15" s="17" customFormat="1" ht="15" customHeight="1" x14ac:dyDescent="0.25">
      <c r="A5" s="86">
        <v>1</v>
      </c>
      <c r="B5" s="87" t="s">
        <v>111</v>
      </c>
      <c r="C5" s="88"/>
      <c r="D5" s="89">
        <v>3.8E-3</v>
      </c>
      <c r="E5" s="89">
        <v>1.2500000000000001E-2</v>
      </c>
      <c r="F5" s="89">
        <v>1.7399999999999999E-2</v>
      </c>
      <c r="G5" s="89">
        <v>0.1</v>
      </c>
      <c r="H5" s="90">
        <v>9665.33</v>
      </c>
      <c r="I5" s="89">
        <f>SUM(D5,F5,G5)</f>
        <v>0.1212</v>
      </c>
      <c r="K5"/>
      <c r="L5"/>
      <c r="M5"/>
      <c r="N5"/>
      <c r="O5"/>
    </row>
    <row r="6" spans="1:15" s="18" customFormat="1" ht="15" customHeight="1" x14ac:dyDescent="0.25">
      <c r="A6" s="86">
        <f>A5+1</f>
        <v>2</v>
      </c>
      <c r="B6" s="87" t="s">
        <v>121</v>
      </c>
      <c r="C6" s="89"/>
      <c r="D6" s="89">
        <v>1.47E-2</v>
      </c>
      <c r="E6" s="91">
        <v>2.3E-3</v>
      </c>
      <c r="F6" s="89">
        <v>1.7399999999999999E-2</v>
      </c>
      <c r="G6" s="89">
        <v>0.1</v>
      </c>
      <c r="H6" s="90"/>
      <c r="I6" s="89">
        <f>SUM(D6,F6,G6)</f>
        <v>0.1321</v>
      </c>
      <c r="K6"/>
      <c r="L6"/>
      <c r="M6"/>
      <c r="N6"/>
      <c r="O6"/>
    </row>
    <row r="7" spans="1:15" s="17" customFormat="1" ht="15" customHeight="1" x14ac:dyDescent="0.25">
      <c r="A7" s="86">
        <f t="shared" ref="A7:A13" si="0">A6+1</f>
        <v>3</v>
      </c>
      <c r="B7" s="87" t="s">
        <v>112</v>
      </c>
      <c r="C7" s="89"/>
      <c r="D7" s="89">
        <v>5.5999999999999999E-3</v>
      </c>
      <c r="E7" s="89">
        <v>1.2E-2</v>
      </c>
      <c r="F7" s="89">
        <v>1.7399999999999999E-2</v>
      </c>
      <c r="G7" s="89">
        <v>0.1</v>
      </c>
      <c r="H7" s="90">
        <v>9665.33</v>
      </c>
      <c r="I7" s="89">
        <f t="shared" ref="I7:I12" si="1">SUM(D7,F7,G7)</f>
        <v>0.123</v>
      </c>
      <c r="K7"/>
      <c r="L7"/>
      <c r="M7"/>
      <c r="N7"/>
      <c r="O7"/>
    </row>
    <row r="8" spans="1:15" s="21" customFormat="1" ht="15" customHeight="1" x14ac:dyDescent="0.25">
      <c r="A8" s="86">
        <f t="shared" si="0"/>
        <v>4</v>
      </c>
      <c r="B8" s="87" t="s">
        <v>3</v>
      </c>
      <c r="C8" s="89"/>
      <c r="D8" s="89">
        <v>1.55E-2</v>
      </c>
      <c r="E8" s="88"/>
      <c r="F8" s="89">
        <v>1.7399999999999999E-2</v>
      </c>
      <c r="G8" s="89">
        <v>0.1</v>
      </c>
      <c r="H8" s="90"/>
      <c r="I8" s="89">
        <f t="shared" si="1"/>
        <v>0.13290000000000002</v>
      </c>
      <c r="K8" s="22"/>
      <c r="L8" s="22"/>
      <c r="M8" s="22"/>
      <c r="N8" s="22"/>
      <c r="O8" s="22"/>
    </row>
    <row r="9" spans="1:15" s="17" customFormat="1" ht="15" customHeight="1" x14ac:dyDescent="0.25">
      <c r="A9" s="86">
        <f t="shared" si="0"/>
        <v>5</v>
      </c>
      <c r="B9" s="87" t="s">
        <v>113</v>
      </c>
      <c r="C9" s="89"/>
      <c r="D9" s="89">
        <v>1.8E-3</v>
      </c>
      <c r="E9" s="89">
        <v>1.2500000000000001E-2</v>
      </c>
      <c r="F9" s="89">
        <v>1.7399999999999999E-2</v>
      </c>
      <c r="G9" s="89">
        <v>0.1</v>
      </c>
      <c r="H9" s="90">
        <v>9665.33</v>
      </c>
      <c r="I9" s="89">
        <f t="shared" si="1"/>
        <v>0.1192</v>
      </c>
      <c r="K9"/>
      <c r="L9"/>
      <c r="M9"/>
      <c r="N9"/>
      <c r="O9"/>
    </row>
    <row r="10" spans="1:15" s="18" customFormat="1" ht="15" customHeight="1" x14ac:dyDescent="0.25">
      <c r="A10" s="86">
        <f t="shared" si="0"/>
        <v>6</v>
      </c>
      <c r="B10" s="87" t="s">
        <v>34</v>
      </c>
      <c r="C10" s="89"/>
      <c r="D10" s="89">
        <v>1.6E-2</v>
      </c>
      <c r="E10" s="88"/>
      <c r="F10" s="89">
        <v>1.7399999999999999E-2</v>
      </c>
      <c r="G10" s="89">
        <v>0.1</v>
      </c>
      <c r="H10" s="90"/>
      <c r="I10" s="89">
        <f t="shared" si="1"/>
        <v>0.13340000000000002</v>
      </c>
      <c r="K10"/>
      <c r="L10"/>
      <c r="M10"/>
      <c r="N10"/>
      <c r="O10"/>
    </row>
    <row r="11" spans="1:15" s="17" customFormat="1" ht="15" customHeight="1" x14ac:dyDescent="0.25">
      <c r="A11" s="86">
        <f t="shared" si="0"/>
        <v>7</v>
      </c>
      <c r="B11" s="87" t="s">
        <v>25</v>
      </c>
      <c r="C11" s="89"/>
      <c r="D11" s="89">
        <v>6.7000000000000002E-3</v>
      </c>
      <c r="E11" s="89">
        <v>1.2E-2</v>
      </c>
      <c r="F11" s="89">
        <v>1.7399999999999999E-2</v>
      </c>
      <c r="G11" s="89">
        <v>0.1</v>
      </c>
      <c r="H11" s="90">
        <v>9665.33</v>
      </c>
      <c r="I11" s="89">
        <f t="shared" si="1"/>
        <v>0.1241</v>
      </c>
      <c r="K11"/>
      <c r="L11"/>
      <c r="M11"/>
      <c r="N11"/>
      <c r="O11"/>
    </row>
    <row r="12" spans="1:15" s="18" customFormat="1" ht="15" customHeight="1" x14ac:dyDescent="0.25">
      <c r="A12" s="86">
        <f t="shared" si="0"/>
        <v>8</v>
      </c>
      <c r="B12" s="87" t="s">
        <v>20</v>
      </c>
      <c r="C12" s="89"/>
      <c r="D12" s="89">
        <v>1.6899999999999998E-2</v>
      </c>
      <c r="E12" s="88"/>
      <c r="F12" s="89">
        <v>1.7399999999999999E-2</v>
      </c>
      <c r="G12" s="89">
        <v>0.1</v>
      </c>
      <c r="H12" s="90"/>
      <c r="I12" s="89">
        <f t="shared" si="1"/>
        <v>0.1343</v>
      </c>
      <c r="K12"/>
    </row>
    <row r="13" spans="1:15" s="19" customFormat="1" ht="15" customHeight="1" x14ac:dyDescent="0.25">
      <c r="A13" s="86">
        <f t="shared" si="0"/>
        <v>9</v>
      </c>
      <c r="B13" s="87" t="s">
        <v>7</v>
      </c>
      <c r="C13" s="89">
        <v>0.13</v>
      </c>
      <c r="D13" s="89"/>
      <c r="E13" s="89"/>
      <c r="F13" s="89"/>
      <c r="G13" s="89">
        <v>0.13</v>
      </c>
      <c r="H13" s="89">
        <v>0</v>
      </c>
      <c r="I13" s="89">
        <f>SUM(D13,F13,G13)</f>
        <v>0.13</v>
      </c>
      <c r="K13"/>
    </row>
    <row r="14" spans="1:15" s="20" customFormat="1" ht="15" customHeight="1" x14ac:dyDescent="0.25">
      <c r="K14"/>
    </row>
    <row r="15" spans="1:15" s="20" customFormat="1" ht="15" customHeight="1" x14ac:dyDescent="0.2"/>
    <row r="16" spans="1:15" s="20" customFormat="1" ht="15" customHeight="1" x14ac:dyDescent="0.2">
      <c r="B16" s="270" t="s">
        <v>177</v>
      </c>
      <c r="C16" s="270"/>
      <c r="D16" s="270"/>
      <c r="E16" s="270"/>
      <c r="F16" s="270"/>
      <c r="G16" s="270"/>
      <c r="H16" s="270"/>
      <c r="I16" s="270"/>
    </row>
    <row r="17" spans="2:11" s="20" customFormat="1" ht="15" customHeight="1" x14ac:dyDescent="0.2">
      <c r="B17" s="271" t="s">
        <v>81</v>
      </c>
      <c r="C17" s="271" t="s">
        <v>175</v>
      </c>
      <c r="D17" s="272" t="s">
        <v>174</v>
      </c>
      <c r="E17" s="274" t="s">
        <v>178</v>
      </c>
      <c r="F17" s="275"/>
      <c r="G17" s="278" t="s">
        <v>176</v>
      </c>
      <c r="H17" s="271" t="s">
        <v>115</v>
      </c>
      <c r="I17" s="271" t="s">
        <v>116</v>
      </c>
      <c r="K17" s="94" t="s">
        <v>34</v>
      </c>
    </row>
    <row r="18" spans="2:11" s="20" customFormat="1" ht="15" customHeight="1" x14ac:dyDescent="0.2">
      <c r="B18" s="268"/>
      <c r="C18" s="268"/>
      <c r="D18" s="273"/>
      <c r="E18" s="276"/>
      <c r="F18" s="277"/>
      <c r="G18" s="279"/>
      <c r="H18" s="268"/>
      <c r="I18" s="268"/>
      <c r="K18" s="94" t="s">
        <v>25</v>
      </c>
    </row>
    <row r="19" spans="2:11" s="20" customFormat="1" ht="15" customHeight="1" x14ac:dyDescent="0.2">
      <c r="B19" s="268"/>
      <c r="C19" s="268"/>
      <c r="D19" s="273"/>
      <c r="E19" s="99" t="s">
        <v>114</v>
      </c>
      <c r="F19" s="100" t="s">
        <v>114</v>
      </c>
      <c r="G19" s="279"/>
      <c r="H19" s="268"/>
      <c r="I19" s="268"/>
      <c r="K19" s="94" t="s">
        <v>25</v>
      </c>
    </row>
    <row r="20" spans="2:11" ht="15" customHeight="1" x14ac:dyDescent="0.25">
      <c r="B20" s="268"/>
      <c r="C20" s="268"/>
      <c r="D20" s="273" t="s">
        <v>118</v>
      </c>
      <c r="E20" s="100" t="s">
        <v>117</v>
      </c>
      <c r="F20" s="100" t="s">
        <v>119</v>
      </c>
      <c r="G20" s="281" t="s">
        <v>118</v>
      </c>
      <c r="H20" s="268" t="s">
        <v>118</v>
      </c>
      <c r="I20" s="268"/>
      <c r="K20" s="50" t="s">
        <v>20</v>
      </c>
    </row>
    <row r="21" spans="2:11" ht="32.25" customHeight="1" x14ac:dyDescent="0.25">
      <c r="B21" s="269"/>
      <c r="C21" s="269"/>
      <c r="D21" s="280"/>
      <c r="E21" s="102" t="s">
        <v>118</v>
      </c>
      <c r="F21" s="101" t="s">
        <v>179</v>
      </c>
      <c r="G21" s="282"/>
      <c r="H21" s="269"/>
      <c r="I21" s="269"/>
      <c r="K21" s="50" t="s">
        <v>3</v>
      </c>
    </row>
    <row r="22" spans="2:11" ht="15" customHeight="1" x14ac:dyDescent="0.25">
      <c r="B22" s="96" t="s">
        <v>120</v>
      </c>
      <c r="C22" s="95"/>
      <c r="D22" s="97">
        <v>1.47E-2</v>
      </c>
      <c r="E22" s="97">
        <v>3.8E-3</v>
      </c>
      <c r="F22" s="97">
        <v>1.2500000000000001E-2</v>
      </c>
      <c r="G22" s="97">
        <v>1.35E-2</v>
      </c>
      <c r="H22" s="97">
        <v>0.1</v>
      </c>
      <c r="I22" s="98">
        <v>9788.9500000000007</v>
      </c>
      <c r="K22" s="50" t="s">
        <v>20</v>
      </c>
    </row>
    <row r="23" spans="2:11" ht="15" customHeight="1" x14ac:dyDescent="0.25">
      <c r="B23" s="96" t="s">
        <v>2</v>
      </c>
      <c r="C23" s="95"/>
      <c r="D23" s="97">
        <v>1.55E-2</v>
      </c>
      <c r="E23" s="97">
        <v>0</v>
      </c>
      <c r="F23" s="97">
        <v>8.2000000000000007E-3</v>
      </c>
      <c r="G23" s="97">
        <v>1.35E-2</v>
      </c>
      <c r="H23" s="97">
        <v>0.1</v>
      </c>
      <c r="I23" s="98">
        <v>9788.9500000000007</v>
      </c>
    </row>
    <row r="24" spans="2:11" ht="15" customHeight="1" x14ac:dyDescent="0.25">
      <c r="B24" s="96" t="s">
        <v>1</v>
      </c>
      <c r="C24" s="95"/>
      <c r="D24" s="97">
        <v>1.6E-2</v>
      </c>
      <c r="E24" s="97">
        <v>1.8E-3</v>
      </c>
      <c r="F24" s="97">
        <v>1.2500000000000001E-2</v>
      </c>
      <c r="G24" s="97">
        <v>1.35E-2</v>
      </c>
      <c r="H24" s="97">
        <v>0.1</v>
      </c>
      <c r="I24" s="98">
        <v>9788.9500000000007</v>
      </c>
    </row>
    <row r="25" spans="2:11" ht="15" customHeight="1" x14ac:dyDescent="0.25">
      <c r="B25" s="96" t="s">
        <v>0</v>
      </c>
      <c r="C25" s="95"/>
      <c r="D25" s="97">
        <v>1.6899999999999998E-2</v>
      </c>
      <c r="E25" s="97">
        <v>6.7000000000000002E-3</v>
      </c>
      <c r="F25" s="97">
        <v>1.2E-2</v>
      </c>
      <c r="G25" s="97">
        <v>1.35E-2</v>
      </c>
      <c r="H25" s="97">
        <v>0.1</v>
      </c>
      <c r="I25" s="98">
        <v>9788.9500000000007</v>
      </c>
    </row>
    <row r="26" spans="2:11" ht="15" customHeight="1" x14ac:dyDescent="0.25"/>
    <row r="27" spans="2:11" ht="15" customHeight="1" x14ac:dyDescent="0.25"/>
    <row r="28" spans="2:11" ht="15" customHeight="1" x14ac:dyDescent="0.25"/>
    <row r="29" spans="2:11" ht="15" customHeight="1" x14ac:dyDescent="0.25"/>
    <row r="30" spans="2:11" ht="15" customHeight="1" x14ac:dyDescent="0.25"/>
    <row r="31" spans="2:11" ht="15" customHeight="1" x14ac:dyDescent="0.25"/>
    <row r="32" spans="2:11" ht="15" customHeight="1" x14ac:dyDescent="0.25"/>
    <row r="33" ht="15" customHeight="1" x14ac:dyDescent="0.25"/>
    <row r="34" ht="15" customHeight="1" x14ac:dyDescent="0.25"/>
  </sheetData>
  <mergeCells count="20">
    <mergeCell ref="H20:H21"/>
    <mergeCell ref="B16:I16"/>
    <mergeCell ref="B17:B21"/>
    <mergeCell ref="C17:C21"/>
    <mergeCell ref="D17:D19"/>
    <mergeCell ref="E17:F18"/>
    <mergeCell ref="G17:G19"/>
    <mergeCell ref="H17:H19"/>
    <mergeCell ref="I17:I21"/>
    <mergeCell ref="D20:D21"/>
    <mergeCell ref="G20:G21"/>
    <mergeCell ref="A2:I2"/>
    <mergeCell ref="A3:A4"/>
    <mergeCell ref="B3:B4"/>
    <mergeCell ref="C3:C4"/>
    <mergeCell ref="D3:E3"/>
    <mergeCell ref="F3:F4"/>
    <mergeCell ref="G3:G4"/>
    <mergeCell ref="H3:H4"/>
    <mergeCell ref="I3:I4"/>
  </mergeCells>
  <hyperlinks>
    <hyperlink ref="E1" r:id="rId1" xr:uid="{00000000-0004-0000-0000-00000000000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99"/>
  </sheetPr>
  <dimension ref="B1:K20"/>
  <sheetViews>
    <sheetView workbookViewId="0">
      <selection activeCell="K17" sqref="K17"/>
    </sheetView>
  </sheetViews>
  <sheetFormatPr baseColWidth="10" defaultColWidth="11" defaultRowHeight="15" x14ac:dyDescent="0.25"/>
  <cols>
    <col min="1" max="1" width="3.5703125" customWidth="1"/>
    <col min="2" max="2" width="1.85546875" customWidth="1"/>
    <col min="3" max="3" width="30.5703125" customWidth="1"/>
    <col min="4" max="4" width="7" customWidth="1"/>
    <col min="5" max="5" width="10.5703125" customWidth="1"/>
    <col min="6" max="6" width="13.85546875" customWidth="1"/>
    <col min="8" max="8" width="1.5703125" customWidth="1"/>
    <col min="11" max="11" width="27.28515625" customWidth="1"/>
    <col min="12" max="12" width="16" customWidth="1"/>
  </cols>
  <sheetData>
    <row r="1" spans="2:11" ht="15.75" thickBot="1" x14ac:dyDescent="0.3"/>
    <row r="2" spans="2:11" ht="7.5" customHeight="1" x14ac:dyDescent="0.25">
      <c r="B2" s="111"/>
      <c r="C2" s="112"/>
      <c r="D2" s="112"/>
      <c r="E2" s="112"/>
      <c r="F2" s="112"/>
      <c r="G2" s="112"/>
      <c r="H2" s="113"/>
    </row>
    <row r="3" spans="2:11" x14ac:dyDescent="0.25">
      <c r="B3" s="114"/>
      <c r="C3" s="285" t="s">
        <v>189</v>
      </c>
      <c r="D3" s="285"/>
      <c r="E3" s="285"/>
      <c r="F3" s="285"/>
      <c r="G3" s="285"/>
      <c r="H3" s="115"/>
    </row>
    <row r="4" spans="2:11" ht="15.75" thickBot="1" x14ac:dyDescent="0.3">
      <c r="B4" s="114"/>
      <c r="H4" s="115"/>
    </row>
    <row r="5" spans="2:11" x14ac:dyDescent="0.25">
      <c r="B5" s="114"/>
      <c r="C5" s="286" t="s">
        <v>190</v>
      </c>
      <c r="D5" s="287"/>
      <c r="E5" s="288"/>
      <c r="F5" s="116" t="s">
        <v>191</v>
      </c>
      <c r="G5" s="117">
        <v>71238.460000000006</v>
      </c>
      <c r="H5" s="115"/>
    </row>
    <row r="6" spans="2:11" x14ac:dyDescent="0.25">
      <c r="B6" s="114"/>
      <c r="C6" s="289" t="s">
        <v>192</v>
      </c>
      <c r="D6" s="290"/>
      <c r="E6" s="291"/>
      <c r="F6" s="118" t="s">
        <v>191</v>
      </c>
      <c r="G6" s="119">
        <f>+G18*7</f>
        <v>38500</v>
      </c>
      <c r="H6" s="115"/>
    </row>
    <row r="7" spans="2:11" ht="15.75" thickBot="1" x14ac:dyDescent="0.3">
      <c r="B7" s="114"/>
      <c r="C7" s="292" t="s">
        <v>193</v>
      </c>
      <c r="D7" s="293"/>
      <c r="E7" s="294"/>
      <c r="F7" s="120" t="s">
        <v>191</v>
      </c>
      <c r="G7" s="121">
        <f>+IF((G5-G6)&lt;0,0,(G5-G6))</f>
        <v>32738.460000000006</v>
      </c>
      <c r="H7" s="115"/>
      <c r="J7" s="122"/>
    </row>
    <row r="8" spans="2:11" ht="15.75" thickBot="1" x14ac:dyDescent="0.3">
      <c r="B8" s="114"/>
      <c r="H8" s="115"/>
    </row>
    <row r="9" spans="2:11" ht="30.75" thickBot="1" x14ac:dyDescent="0.3">
      <c r="B9" s="114"/>
      <c r="C9" s="123" t="s">
        <v>194</v>
      </c>
      <c r="D9" s="124" t="s">
        <v>195</v>
      </c>
      <c r="E9" s="125" t="s">
        <v>196</v>
      </c>
      <c r="F9" s="123" t="s">
        <v>197</v>
      </c>
      <c r="G9" s="126" t="s">
        <v>198</v>
      </c>
      <c r="H9" s="115"/>
    </row>
    <row r="10" spans="2:11" x14ac:dyDescent="0.25">
      <c r="B10" s="114"/>
      <c r="C10" s="127" t="s">
        <v>199</v>
      </c>
      <c r="D10" s="128">
        <v>0.08</v>
      </c>
      <c r="E10" s="129">
        <f>5*G18</f>
        <v>27500</v>
      </c>
      <c r="F10" s="130">
        <f>+IF(G5&lt;=(G6),0,(IF(G7&lt;=E10,G7,E10)))</f>
        <v>27500</v>
      </c>
      <c r="G10" s="131">
        <f>+F10*D10</f>
        <v>2200</v>
      </c>
      <c r="H10" s="115"/>
    </row>
    <row r="11" spans="2:11" x14ac:dyDescent="0.25">
      <c r="B11" s="114"/>
      <c r="C11" s="127" t="s">
        <v>200</v>
      </c>
      <c r="D11" s="128">
        <v>0.14000000000000001</v>
      </c>
      <c r="E11" s="129">
        <f>20*G18</f>
        <v>110000</v>
      </c>
      <c r="F11" s="132">
        <f>+IF((G7-F10)&lt;=0,0,(IF(G7&lt;=E11,G7-F10,E11-F10)))</f>
        <v>5238.4600000000064</v>
      </c>
      <c r="G11" s="133">
        <f>+F11*D11</f>
        <v>733.38440000000094</v>
      </c>
      <c r="H11" s="115"/>
    </row>
    <row r="12" spans="2:11" x14ac:dyDescent="0.25">
      <c r="B12" s="114"/>
      <c r="C12" s="127" t="s">
        <v>201</v>
      </c>
      <c r="D12" s="128">
        <v>0.17</v>
      </c>
      <c r="E12" s="129">
        <f>35*G18</f>
        <v>192500</v>
      </c>
      <c r="F12" s="132">
        <f>+IF((G7-(F10+F11))&lt;=0,0,(IF(G7&lt;=E12,G7-(F10+F11),E12-F11-F10)))</f>
        <v>0</v>
      </c>
      <c r="G12" s="133">
        <f>+F12*D12</f>
        <v>0</v>
      </c>
      <c r="H12" s="115"/>
    </row>
    <row r="13" spans="2:11" x14ac:dyDescent="0.25">
      <c r="B13" s="114"/>
      <c r="C13" s="127" t="s">
        <v>202</v>
      </c>
      <c r="D13" s="128">
        <v>0.2</v>
      </c>
      <c r="E13" s="129">
        <f>45*G18</f>
        <v>247500</v>
      </c>
      <c r="F13" s="132">
        <f>+IF((G7-(F10+F11+F12))&lt;=0,0,(IF(G7&lt;=E13,G7-(F10+F11+F12),E13-F12-F11-F10)))</f>
        <v>0</v>
      </c>
      <c r="G13" s="133">
        <f>+F13*D13</f>
        <v>0</v>
      </c>
      <c r="H13" s="115"/>
    </row>
    <row r="14" spans="2:11" ht="15.75" thickBot="1" x14ac:dyDescent="0.3">
      <c r="B14" s="114"/>
      <c r="C14" s="134" t="s">
        <v>203</v>
      </c>
      <c r="D14" s="135">
        <v>0.3</v>
      </c>
      <c r="E14" s="136" t="str">
        <f>+CONCATENATE("&gt; ",E13)</f>
        <v>&gt; 247500</v>
      </c>
      <c r="F14" s="137">
        <f>+IF(G7&gt;E13,G7-E13,0)</f>
        <v>0</v>
      </c>
      <c r="G14" s="138">
        <f>+F14*D14</f>
        <v>0</v>
      </c>
      <c r="H14" s="115"/>
    </row>
    <row r="15" spans="2:11" ht="15.75" thickBot="1" x14ac:dyDescent="0.3">
      <c r="B15" s="114"/>
      <c r="C15" s="295" t="s">
        <v>204</v>
      </c>
      <c r="D15" s="296"/>
      <c r="E15" s="296"/>
      <c r="F15" s="139">
        <f>+F14+F13+F10</f>
        <v>27500</v>
      </c>
      <c r="G15" s="140">
        <f>+SUM(G10:G14)</f>
        <v>2933.3844000000008</v>
      </c>
      <c r="H15" s="115"/>
    </row>
    <row r="16" spans="2:11" ht="15.75" thickBot="1" x14ac:dyDescent="0.3">
      <c r="B16" s="114"/>
      <c r="H16" s="115"/>
      <c r="K16" s="122"/>
    </row>
    <row r="17" spans="2:8" ht="15.75" thickBot="1" x14ac:dyDescent="0.3">
      <c r="B17" s="114"/>
      <c r="C17" s="297" t="s">
        <v>205</v>
      </c>
      <c r="D17" s="298"/>
      <c r="E17" s="298"/>
      <c r="F17" s="298"/>
      <c r="G17" s="141">
        <f>+G15/12</f>
        <v>244.44870000000006</v>
      </c>
      <c r="H17" s="115"/>
    </row>
    <row r="18" spans="2:8" ht="15.75" thickBot="1" x14ac:dyDescent="0.3">
      <c r="B18" s="114"/>
      <c r="C18" s="283" t="s">
        <v>206</v>
      </c>
      <c r="D18" s="284"/>
      <c r="E18" s="284"/>
      <c r="F18" s="284"/>
      <c r="G18" s="142">
        <v>5500</v>
      </c>
      <c r="H18" s="115"/>
    </row>
    <row r="19" spans="2:8" x14ac:dyDescent="0.25">
      <c r="B19" s="114"/>
      <c r="H19" s="115"/>
    </row>
    <row r="20" spans="2:8" ht="15.75" thickBot="1" x14ac:dyDescent="0.3">
      <c r="B20" s="143"/>
      <c r="C20" s="144"/>
      <c r="D20" s="144"/>
      <c r="E20" s="144"/>
      <c r="F20" s="144"/>
      <c r="G20" s="144"/>
      <c r="H20" s="145"/>
    </row>
  </sheetData>
  <mergeCells count="7">
    <mergeCell ref="C18:F18"/>
    <mergeCell ref="C3:G3"/>
    <mergeCell ref="C5:E5"/>
    <mergeCell ref="C6:E6"/>
    <mergeCell ref="C7:E7"/>
    <mergeCell ref="C15:E15"/>
    <mergeCell ref="C17:F1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99"/>
    <pageSetUpPr fitToPage="1"/>
  </sheetPr>
  <dimension ref="A1:M11"/>
  <sheetViews>
    <sheetView zoomScale="70" zoomScaleNormal="70" workbookViewId="0">
      <selection activeCell="M3" sqref="M3"/>
    </sheetView>
  </sheetViews>
  <sheetFormatPr baseColWidth="10" defaultColWidth="10.7109375" defaultRowHeight="12.75" x14ac:dyDescent="0.2"/>
  <cols>
    <col min="1" max="1" width="11.42578125" style="1" customWidth="1"/>
    <col min="2" max="2" width="17.7109375" style="1" bestFit="1" customWidth="1"/>
    <col min="3" max="3" width="14.5703125" style="1" customWidth="1"/>
    <col min="4" max="4" width="16" style="1" customWidth="1"/>
    <col min="5" max="5" width="10.7109375" style="1"/>
    <col min="6" max="6" width="10.7109375" style="1" customWidth="1"/>
    <col min="7" max="16384" width="10.7109375" style="1"/>
  </cols>
  <sheetData>
    <row r="1" spans="1:13" ht="13.5" thickBot="1" x14ac:dyDescent="0.25"/>
    <row r="2" spans="1:13" ht="13.5" thickBot="1" x14ac:dyDescent="0.25">
      <c r="J2" s="299" t="s">
        <v>83</v>
      </c>
      <c r="K2" s="300"/>
    </row>
    <row r="3" spans="1:13" ht="102.75" thickBot="1" x14ac:dyDescent="0.25">
      <c r="F3" s="2" t="s">
        <v>84</v>
      </c>
      <c r="G3" s="2" t="s">
        <v>85</v>
      </c>
      <c r="H3" s="2" t="s">
        <v>86</v>
      </c>
      <c r="I3" s="3" t="s">
        <v>87</v>
      </c>
      <c r="J3" s="3" t="s">
        <v>88</v>
      </c>
      <c r="K3" s="3" t="s">
        <v>89</v>
      </c>
      <c r="L3" s="104" t="s">
        <v>90</v>
      </c>
      <c r="M3" s="104" t="s">
        <v>91</v>
      </c>
    </row>
    <row r="4" spans="1:13" ht="20.25" x14ac:dyDescent="0.3">
      <c r="A4" s="4"/>
      <c r="B4" s="5"/>
      <c r="C4" s="6" t="s">
        <v>92</v>
      </c>
      <c r="D4" s="301">
        <f>+B6</f>
        <v>11238.83</v>
      </c>
      <c r="E4" s="7" t="s">
        <v>93</v>
      </c>
      <c r="F4" s="8">
        <f>+G4+H4+I4</f>
        <v>0.13290000000000002</v>
      </c>
      <c r="G4" s="8">
        <v>0.1</v>
      </c>
      <c r="H4" s="9">
        <v>1.7399999999999999E-2</v>
      </c>
      <c r="I4" s="8">
        <v>1.55E-2</v>
      </c>
      <c r="J4" s="8">
        <v>0</v>
      </c>
      <c r="K4" s="8">
        <v>7.9000000000000008E-3</v>
      </c>
      <c r="L4" s="8">
        <f>+G4+H4+J4</f>
        <v>0.1174</v>
      </c>
      <c r="M4" s="8">
        <f>+G4+H4+K4</f>
        <v>0.12529999999999999</v>
      </c>
    </row>
    <row r="5" spans="1:13" ht="20.25" x14ac:dyDescent="0.3">
      <c r="A5" s="10"/>
      <c r="B5" s="5"/>
      <c r="C5" s="6" t="s">
        <v>92</v>
      </c>
      <c r="D5" s="302"/>
      <c r="E5" s="7" t="s">
        <v>94</v>
      </c>
      <c r="F5" s="8">
        <f>+G5+H5+I5</f>
        <v>0.13340000000000002</v>
      </c>
      <c r="G5" s="8">
        <v>0.1</v>
      </c>
      <c r="H5" s="9">
        <v>1.7399999999999999E-2</v>
      </c>
      <c r="I5" s="8">
        <v>1.6E-2</v>
      </c>
      <c r="J5" s="8">
        <v>1.8E-3</v>
      </c>
      <c r="K5" s="8">
        <v>1.2500000000000001E-2</v>
      </c>
      <c r="L5" s="8">
        <f>+G5+H5+J5</f>
        <v>0.1192</v>
      </c>
      <c r="M5" s="8">
        <f>+G5+H5+K5</f>
        <v>0.12990000000000002</v>
      </c>
    </row>
    <row r="6" spans="1:13" ht="20.25" x14ac:dyDescent="0.3">
      <c r="A6" s="11"/>
      <c r="B6" s="12">
        <v>11238.83</v>
      </c>
      <c r="C6" s="6" t="s">
        <v>92</v>
      </c>
      <c r="D6" s="302"/>
      <c r="E6" s="7" t="s">
        <v>95</v>
      </c>
      <c r="F6" s="8">
        <f>+G6+H6+I6</f>
        <v>0.1343</v>
      </c>
      <c r="G6" s="8">
        <v>0.1</v>
      </c>
      <c r="H6" s="9">
        <v>1.7399999999999999E-2</v>
      </c>
      <c r="I6" s="8">
        <v>1.6899999999999998E-2</v>
      </c>
      <c r="J6" s="8">
        <v>2.8E-3</v>
      </c>
      <c r="K6" s="8">
        <v>1.2E-2</v>
      </c>
      <c r="L6" s="8">
        <f>+G6+H6+J6</f>
        <v>0.1202</v>
      </c>
      <c r="M6" s="8">
        <f>+G6+H6+K6</f>
        <v>0.12940000000000002</v>
      </c>
    </row>
    <row r="7" spans="1:13" ht="20.25" x14ac:dyDescent="0.3">
      <c r="A7" s="10"/>
      <c r="B7" s="13" t="s">
        <v>96</v>
      </c>
      <c r="C7" s="6" t="s">
        <v>92</v>
      </c>
      <c r="D7" s="302"/>
      <c r="E7" s="7" t="s">
        <v>97</v>
      </c>
      <c r="F7" s="8">
        <f>+G7+H7+I7</f>
        <v>0.1321</v>
      </c>
      <c r="G7" s="8">
        <v>0.1</v>
      </c>
      <c r="H7" s="9">
        <v>1.7399999999999999E-2</v>
      </c>
      <c r="I7" s="8">
        <v>1.47E-2</v>
      </c>
      <c r="J7" s="8">
        <v>2.3E-3</v>
      </c>
      <c r="K7" s="8">
        <v>1.2500000000000001E-2</v>
      </c>
      <c r="L7" s="8">
        <f>+G7+H7+J7</f>
        <v>0.1197</v>
      </c>
      <c r="M7" s="8">
        <f>+G7+H7+K7</f>
        <v>0.12990000000000002</v>
      </c>
    </row>
    <row r="8" spans="1:13" x14ac:dyDescent="0.2">
      <c r="B8" s="1" t="s">
        <v>98</v>
      </c>
    </row>
    <row r="9" spans="1:13" ht="18" x14ac:dyDescent="0.25">
      <c r="B9" s="12">
        <v>4554.41</v>
      </c>
    </row>
    <row r="10" spans="1:13" x14ac:dyDescent="0.2">
      <c r="B10" s="303" t="s">
        <v>99</v>
      </c>
      <c r="C10" s="303"/>
      <c r="D10" s="14" t="s">
        <v>100</v>
      </c>
      <c r="E10" s="7" t="s">
        <v>101</v>
      </c>
      <c r="F10" s="14" t="s">
        <v>102</v>
      </c>
    </row>
    <row r="11" spans="1:13" x14ac:dyDescent="0.2">
      <c r="B11" s="303"/>
      <c r="C11" s="303"/>
      <c r="D11" s="15">
        <f>930+95</f>
        <v>1025</v>
      </c>
      <c r="E11" s="16">
        <v>0.1</v>
      </c>
      <c r="F11" s="15">
        <f>+D11*E11</f>
        <v>102.5</v>
      </c>
    </row>
  </sheetData>
  <mergeCells count="3">
    <mergeCell ref="J2:K2"/>
    <mergeCell ref="D4:D7"/>
    <mergeCell ref="B10:C11"/>
  </mergeCells>
  <pageMargins left="0.70866141732283472" right="0.70866141732283472" top="0.74803149606299213" bottom="0.74803149606299213" header="0.31496062992125984" footer="0.31496062992125984"/>
  <pageSetup paperSize="9" scale="87" fitToHeight="2" orientation="landscape" horizontalDpi="4294967293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BK142"/>
  <sheetViews>
    <sheetView tabSelected="1" zoomScale="90" zoomScaleNormal="90" workbookViewId="0">
      <pane xSplit="15" ySplit="9" topLeftCell="AP10" activePane="bottomRight" state="frozen"/>
      <selection pane="topRight" activeCell="P1" sqref="P1"/>
      <selection pane="bottomLeft" activeCell="A10" sqref="A10"/>
      <selection pane="bottomRight" activeCell="AG23" sqref="AG23"/>
    </sheetView>
  </sheetViews>
  <sheetFormatPr baseColWidth="10" defaultColWidth="11.42578125" defaultRowHeight="12.75" x14ac:dyDescent="0.2"/>
  <cols>
    <col min="1" max="1" width="5.85546875" style="155" bestFit="1" customWidth="1"/>
    <col min="2" max="2" width="50.5703125" style="155" bestFit="1" customWidth="1"/>
    <col min="3" max="3" width="12.140625" style="155" hidden="1" customWidth="1"/>
    <col min="4" max="4" width="10.28515625" style="155" hidden="1" customWidth="1"/>
    <col min="5" max="5" width="9.28515625" style="155" hidden="1" customWidth="1"/>
    <col min="6" max="6" width="8.42578125" style="155" hidden="1" customWidth="1"/>
    <col min="7" max="7" width="11.5703125" style="155" hidden="1" customWidth="1"/>
    <col min="8" max="8" width="19.28515625" style="155" hidden="1" customWidth="1"/>
    <col min="9" max="9" width="24.140625" style="155" hidden="1" customWidth="1"/>
    <col min="10" max="10" width="5" style="155" hidden="1" customWidth="1"/>
    <col min="11" max="11" width="5.85546875" style="196" hidden="1" customWidth="1"/>
    <col min="12" max="12" width="7.85546875" style="155" hidden="1" customWidth="1"/>
    <col min="13" max="13" width="16.85546875" style="197" hidden="1" customWidth="1"/>
    <col min="14" max="14" width="17.42578125" style="198" hidden="1" customWidth="1"/>
    <col min="15" max="15" width="31.28515625" style="198" hidden="1" customWidth="1"/>
    <col min="16" max="16" width="11" style="155" bestFit="1" customWidth="1"/>
    <col min="17" max="17" width="8.7109375" style="155" customWidth="1"/>
    <col min="18" max="18" width="10.28515625" style="155" customWidth="1"/>
    <col min="19" max="19" width="7.5703125" style="155" hidden="1" customWidth="1"/>
    <col min="20" max="20" width="10.7109375" style="155" customWidth="1"/>
    <col min="21" max="21" width="6.7109375" style="155" customWidth="1"/>
    <col min="22" max="22" width="5.140625" style="155" bestFit="1" customWidth="1"/>
    <col min="23" max="23" width="5.7109375" style="155" customWidth="1"/>
    <col min="24" max="24" width="8.7109375" style="155" customWidth="1"/>
    <col min="25" max="25" width="6.7109375" style="155" customWidth="1"/>
    <col min="26" max="26" width="8.7109375" style="155" customWidth="1"/>
    <col min="27" max="27" width="6.5703125" style="155" bestFit="1" customWidth="1"/>
    <col min="28" max="29" width="8.7109375" style="155" customWidth="1"/>
    <col min="30" max="30" width="6.5703125" style="155" bestFit="1" customWidth="1"/>
    <col min="31" max="31" width="8" style="155" bestFit="1" customWidth="1"/>
    <col min="32" max="32" width="6.7109375" style="155" bestFit="1" customWidth="1"/>
    <col min="33" max="33" width="8.140625" style="155" customWidth="1"/>
    <col min="34" max="34" width="7.28515625" style="155" customWidth="1"/>
    <col min="35" max="35" width="8.7109375" style="155" customWidth="1"/>
    <col min="36" max="36" width="10.7109375" style="155" customWidth="1"/>
    <col min="37" max="37" width="6.7109375" style="155" customWidth="1"/>
    <col min="38" max="38" width="8.7109375" style="155" customWidth="1"/>
    <col min="39" max="39" width="6.85546875" style="155" customWidth="1"/>
    <col min="40" max="40" width="8.7109375" style="155" customWidth="1"/>
    <col min="41" max="41" width="6.7109375" style="155" customWidth="1"/>
    <col min="42" max="43" width="8.7109375" style="155" customWidth="1"/>
    <col min="44" max="44" width="10.7109375" style="155" customWidth="1"/>
    <col min="45" max="45" width="16.7109375" style="202" customWidth="1"/>
    <col min="46" max="46" width="6.7109375" style="197" bestFit="1" customWidth="1"/>
    <col min="47" max="47" width="6.42578125" style="197" bestFit="1" customWidth="1"/>
    <col min="48" max="48" width="8.7109375" style="155" customWidth="1"/>
    <col min="49" max="49" width="9.5703125" style="155" customWidth="1"/>
    <col min="50" max="51" width="8.7109375" style="155" customWidth="1"/>
    <col min="52" max="52" width="10.140625" style="217" customWidth="1"/>
    <col min="53" max="53" width="10.7109375" style="217" customWidth="1"/>
    <col min="54" max="54" width="9.5703125" style="155" bestFit="1" customWidth="1"/>
    <col min="55" max="55" width="10.7109375" style="155" customWidth="1"/>
    <col min="56" max="56" width="9.7109375" style="155" customWidth="1"/>
    <col min="57" max="58" width="8.7109375" style="155" customWidth="1"/>
    <col min="59" max="59" width="8.42578125" style="205" bestFit="1" customWidth="1"/>
    <col min="60" max="61" width="8.7109375" style="155" customWidth="1"/>
    <col min="62" max="62" width="10.7109375" style="155" customWidth="1"/>
    <col min="63" max="63" width="6.85546875" style="155" customWidth="1"/>
    <col min="64" max="65" width="9.85546875" style="155" customWidth="1"/>
    <col min="66" max="16384" width="11.42578125" style="155"/>
  </cols>
  <sheetData>
    <row r="1" spans="1:63" ht="15" customHeight="1" x14ac:dyDescent="0.2">
      <c r="A1" s="194"/>
      <c r="B1" s="195" t="s">
        <v>80</v>
      </c>
      <c r="P1" s="196"/>
      <c r="Q1" s="196"/>
      <c r="R1" s="196"/>
      <c r="S1" s="196"/>
      <c r="T1" s="196"/>
      <c r="U1" s="196"/>
      <c r="V1" s="196"/>
      <c r="W1" s="196"/>
      <c r="X1" s="196"/>
      <c r="Y1" s="196"/>
      <c r="Z1" s="196"/>
      <c r="AA1" s="196"/>
      <c r="AB1" s="196"/>
      <c r="AC1" s="196"/>
      <c r="AD1" s="196"/>
      <c r="AE1" s="196"/>
      <c r="AF1" s="196"/>
      <c r="AG1" s="196"/>
      <c r="AH1" s="196"/>
      <c r="AI1" s="196"/>
      <c r="AJ1" s="196" t="s">
        <v>248</v>
      </c>
      <c r="AK1" s="196"/>
      <c r="AL1" s="196"/>
      <c r="AM1" s="196"/>
      <c r="AN1" s="196"/>
      <c r="AO1" s="196"/>
      <c r="AP1" s="196"/>
      <c r="AQ1" s="196"/>
      <c r="AR1" s="196"/>
      <c r="AS1" s="199"/>
      <c r="AT1" s="196"/>
      <c r="AU1" s="196"/>
      <c r="AV1" s="196"/>
      <c r="AW1" s="196"/>
      <c r="AX1" s="196"/>
      <c r="AY1" s="196"/>
      <c r="AZ1" s="196"/>
      <c r="BA1" s="196"/>
      <c r="BB1" s="196"/>
      <c r="BC1" s="196"/>
      <c r="BD1" s="196"/>
      <c r="BE1" s="196"/>
      <c r="BF1" s="196"/>
      <c r="BG1" s="196"/>
      <c r="BH1" s="196"/>
      <c r="BI1" s="196"/>
    </row>
    <row r="2" spans="1:63" x14ac:dyDescent="0.2">
      <c r="A2" s="200"/>
      <c r="B2" s="146" t="s">
        <v>79</v>
      </c>
      <c r="AC2" s="201"/>
      <c r="AD2" s="201"/>
      <c r="AE2" s="201"/>
      <c r="AY2" s="203" t="s">
        <v>78</v>
      </c>
      <c r="AZ2" s="204">
        <v>0.08</v>
      </c>
      <c r="BA2" s="204"/>
      <c r="BI2" s="204"/>
    </row>
    <row r="3" spans="1:63" x14ac:dyDescent="0.2">
      <c r="A3" s="206"/>
      <c r="B3" s="146" t="s">
        <v>39</v>
      </c>
      <c r="C3" s="155">
        <v>30</v>
      </c>
      <c r="O3" s="207"/>
      <c r="P3" s="208"/>
      <c r="V3" s="209"/>
      <c r="AA3" s="209"/>
      <c r="AB3" s="209"/>
      <c r="AC3" s="209"/>
      <c r="AD3" s="209"/>
      <c r="AE3" s="209"/>
      <c r="AF3" s="209"/>
      <c r="AG3" s="209"/>
      <c r="AH3" s="209"/>
      <c r="AI3" s="209"/>
      <c r="AY3" s="203" t="s">
        <v>77</v>
      </c>
      <c r="AZ3" s="204">
        <v>0.14000000000000001</v>
      </c>
      <c r="BA3" s="204"/>
      <c r="BI3" s="204"/>
    </row>
    <row r="4" spans="1:63" ht="12.95" customHeight="1" x14ac:dyDescent="0.2">
      <c r="A4" s="210"/>
      <c r="B4" s="147" t="s">
        <v>76</v>
      </c>
      <c r="C4" s="211">
        <v>46174</v>
      </c>
      <c r="D4" s="212"/>
      <c r="E4" s="212"/>
      <c r="F4" s="212"/>
      <c r="G4" s="212"/>
      <c r="O4" s="213"/>
      <c r="P4" s="212"/>
      <c r="Q4" s="214" t="s">
        <v>75</v>
      </c>
      <c r="R4" s="214"/>
      <c r="S4" s="214"/>
      <c r="T4" s="214"/>
      <c r="U4" s="214"/>
      <c r="V4" s="212"/>
      <c r="W4" s="212"/>
      <c r="X4" s="212"/>
      <c r="Y4" s="212"/>
      <c r="Z4" s="212"/>
      <c r="AA4" s="212"/>
      <c r="AB4" s="212"/>
      <c r="AC4" s="212"/>
      <c r="AD4" s="212"/>
      <c r="AE4" s="212"/>
      <c r="AF4" s="212"/>
      <c r="AG4" s="212"/>
      <c r="AH4" s="212"/>
      <c r="AI4" s="212"/>
      <c r="AJ4" s="212"/>
      <c r="AK4" s="212"/>
      <c r="AL4" s="212"/>
      <c r="AM4" s="212"/>
      <c r="AN4" s="212"/>
      <c r="AO4" s="212"/>
      <c r="AP4" s="212"/>
      <c r="AQ4" s="212"/>
      <c r="AR4" s="212"/>
      <c r="AY4" s="203" t="s">
        <v>74</v>
      </c>
      <c r="AZ4" s="204">
        <v>0.17</v>
      </c>
      <c r="BA4" s="204"/>
      <c r="BC4" s="212"/>
      <c r="BH4" s="212"/>
      <c r="BI4" s="204"/>
    </row>
    <row r="5" spans="1:63" ht="16.5" customHeight="1" x14ac:dyDescent="0.2">
      <c r="A5" s="215"/>
      <c r="B5" s="183" t="s">
        <v>55</v>
      </c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09"/>
      <c r="Q5" s="209"/>
      <c r="R5" s="209"/>
      <c r="S5" s="209"/>
      <c r="T5" s="209"/>
      <c r="U5" s="209"/>
      <c r="V5" s="209"/>
      <c r="W5" s="216"/>
      <c r="X5" s="216"/>
      <c r="Y5" s="216"/>
      <c r="Z5" s="216"/>
      <c r="AA5" s="209"/>
      <c r="AB5" s="209"/>
      <c r="AC5" s="209"/>
      <c r="AD5" s="209"/>
      <c r="AE5" s="209"/>
      <c r="AF5" s="209"/>
      <c r="AG5" s="209"/>
      <c r="AH5" s="209"/>
      <c r="AI5" s="209"/>
      <c r="AJ5" s="209"/>
      <c r="AK5" s="209"/>
      <c r="AL5" s="209"/>
      <c r="AM5" s="209"/>
      <c r="AN5" s="209"/>
      <c r="AO5" s="209"/>
      <c r="AP5" s="209"/>
      <c r="AQ5" s="209"/>
      <c r="AR5" s="216"/>
      <c r="AY5" s="203" t="s">
        <v>73</v>
      </c>
      <c r="AZ5" s="204">
        <v>0.2</v>
      </c>
      <c r="BC5" s="216"/>
      <c r="BG5" s="218"/>
      <c r="BH5" s="216"/>
      <c r="BI5" s="204"/>
    </row>
    <row r="6" spans="1:63" ht="16.5" customHeight="1" x14ac:dyDescent="0.2">
      <c r="A6" s="185">
        <v>1</v>
      </c>
      <c r="B6" s="185">
        <f>+A6+1</f>
        <v>2</v>
      </c>
      <c r="C6" s="185">
        <f t="shared" ref="C6:V6" si="0">+B6+1</f>
        <v>3</v>
      </c>
      <c r="D6" s="185">
        <f t="shared" si="0"/>
        <v>4</v>
      </c>
      <c r="E6" s="185">
        <f t="shared" si="0"/>
        <v>5</v>
      </c>
      <c r="F6" s="185">
        <f t="shared" si="0"/>
        <v>6</v>
      </c>
      <c r="G6" s="185">
        <f t="shared" si="0"/>
        <v>7</v>
      </c>
      <c r="H6" s="185">
        <f t="shared" si="0"/>
        <v>8</v>
      </c>
      <c r="I6" s="185">
        <f t="shared" si="0"/>
        <v>9</v>
      </c>
      <c r="J6" s="185">
        <f t="shared" si="0"/>
        <v>10</v>
      </c>
      <c r="K6" s="185">
        <f t="shared" si="0"/>
        <v>11</v>
      </c>
      <c r="L6" s="185">
        <f t="shared" si="0"/>
        <v>12</v>
      </c>
      <c r="M6" s="185">
        <f t="shared" si="0"/>
        <v>13</v>
      </c>
      <c r="N6" s="185">
        <f t="shared" si="0"/>
        <v>14</v>
      </c>
      <c r="O6" s="185">
        <f t="shared" si="0"/>
        <v>15</v>
      </c>
      <c r="P6" s="185">
        <f t="shared" si="0"/>
        <v>16</v>
      </c>
      <c r="Q6" s="185">
        <f t="shared" si="0"/>
        <v>17</v>
      </c>
      <c r="R6" s="185">
        <f t="shared" si="0"/>
        <v>18</v>
      </c>
      <c r="S6" s="185">
        <f t="shared" si="0"/>
        <v>19</v>
      </c>
      <c r="T6" s="185">
        <f t="shared" si="0"/>
        <v>20</v>
      </c>
      <c r="U6" s="185">
        <f t="shared" si="0"/>
        <v>21</v>
      </c>
      <c r="V6" s="185">
        <f t="shared" si="0"/>
        <v>22</v>
      </c>
      <c r="W6" s="185">
        <f t="shared" ref="W6" si="1">+V6+1</f>
        <v>23</v>
      </c>
      <c r="X6" s="185">
        <f t="shared" ref="X6" si="2">+W6+1</f>
        <v>24</v>
      </c>
      <c r="Y6" s="185">
        <f t="shared" ref="Y6" si="3">+X6+1</f>
        <v>25</v>
      </c>
      <c r="Z6" s="185">
        <f t="shared" ref="Z6" si="4">+Y6+1</f>
        <v>26</v>
      </c>
      <c r="AA6" s="185">
        <f t="shared" ref="AA6" si="5">+Z6+1</f>
        <v>27</v>
      </c>
      <c r="AB6" s="185">
        <f t="shared" ref="AB6" si="6">+AA6+1</f>
        <v>28</v>
      </c>
      <c r="AC6" s="185">
        <f t="shared" ref="AC6" si="7">+AB6+1</f>
        <v>29</v>
      </c>
      <c r="AD6" s="185">
        <f t="shared" ref="AD6" si="8">+AC6+1</f>
        <v>30</v>
      </c>
      <c r="AE6" s="185">
        <f t="shared" ref="AE6" si="9">+AD6+1</f>
        <v>31</v>
      </c>
      <c r="AF6" s="185">
        <f t="shared" ref="AF6" si="10">+AE6+1</f>
        <v>32</v>
      </c>
      <c r="AG6" s="185">
        <f t="shared" ref="AG6" si="11">+AF6+1</f>
        <v>33</v>
      </c>
      <c r="AH6" s="185">
        <f t="shared" ref="AH6" si="12">+AG6+1</f>
        <v>34</v>
      </c>
      <c r="AI6" s="185">
        <f t="shared" ref="AI6" si="13">+AH6+1</f>
        <v>35</v>
      </c>
      <c r="AJ6" s="185">
        <f t="shared" ref="AJ6" si="14">+AI6+1</f>
        <v>36</v>
      </c>
      <c r="AK6" s="185">
        <f t="shared" ref="AK6" si="15">+AJ6+1</f>
        <v>37</v>
      </c>
      <c r="AL6" s="185">
        <f t="shared" ref="AL6" si="16">+AK6+1</f>
        <v>38</v>
      </c>
      <c r="AM6" s="185">
        <f t="shared" ref="AM6" si="17">+AL6+1</f>
        <v>39</v>
      </c>
      <c r="AN6" s="185">
        <f t="shared" ref="AN6" si="18">+AM6+1</f>
        <v>40</v>
      </c>
      <c r="AO6" s="185">
        <f t="shared" ref="AO6" si="19">+AN6+1</f>
        <v>41</v>
      </c>
      <c r="AP6" s="185">
        <f t="shared" ref="AP6" si="20">+AO6+1</f>
        <v>42</v>
      </c>
      <c r="AQ6" s="185">
        <f t="shared" ref="AQ6" si="21">+AP6+1</f>
        <v>43</v>
      </c>
      <c r="AR6" s="185">
        <f t="shared" ref="AR6" si="22">+AQ6+1</f>
        <v>44</v>
      </c>
      <c r="AS6" s="185">
        <f t="shared" ref="AS6" si="23">+AR6+1</f>
        <v>45</v>
      </c>
      <c r="AT6" s="185">
        <f t="shared" ref="AT6" si="24">+AS6+1</f>
        <v>46</v>
      </c>
      <c r="AU6" s="185">
        <f t="shared" ref="AU6" si="25">+AT6+1</f>
        <v>47</v>
      </c>
      <c r="AV6" s="185">
        <f t="shared" ref="AV6" si="26">+AU6+1</f>
        <v>48</v>
      </c>
      <c r="AW6" s="185">
        <f t="shared" ref="AW6" si="27">+AV6+1</f>
        <v>49</v>
      </c>
      <c r="AX6" s="185">
        <f t="shared" ref="AX6" si="28">+AW6+1</f>
        <v>50</v>
      </c>
      <c r="AY6" s="185">
        <f t="shared" ref="AY6" si="29">+AX6+1</f>
        <v>51</v>
      </c>
      <c r="AZ6" s="185">
        <f t="shared" ref="AZ6" si="30">+AY6+1</f>
        <v>52</v>
      </c>
      <c r="BA6" s="185">
        <f t="shared" ref="BA6" si="31">+AZ6+1</f>
        <v>53</v>
      </c>
      <c r="BB6" s="185">
        <f t="shared" ref="BB6" si="32">+BA6+1</f>
        <v>54</v>
      </c>
      <c r="BC6" s="185">
        <f t="shared" ref="BC6" si="33">+BB6+1</f>
        <v>55</v>
      </c>
      <c r="BD6" s="185">
        <f t="shared" ref="BD6" si="34">+BC6+1</f>
        <v>56</v>
      </c>
      <c r="BE6" s="185">
        <f t="shared" ref="BE6" si="35">+BD6+1</f>
        <v>57</v>
      </c>
      <c r="BF6" s="185">
        <f t="shared" ref="BF6" si="36">+BE6+1</f>
        <v>58</v>
      </c>
      <c r="BG6" s="185">
        <f t="shared" ref="BG6" si="37">+BF6+1</f>
        <v>59</v>
      </c>
      <c r="BH6" s="185">
        <f t="shared" ref="BH6" si="38">+BG6+1</f>
        <v>60</v>
      </c>
      <c r="BI6" s="185">
        <f t="shared" ref="BI6" si="39">+BH6+1</f>
        <v>61</v>
      </c>
      <c r="BJ6" s="185">
        <f t="shared" ref="BJ6" si="40">+BI6+1</f>
        <v>62</v>
      </c>
    </row>
    <row r="7" spans="1:63" s="189" customFormat="1" ht="30.75" customHeight="1" x14ac:dyDescent="0.25">
      <c r="A7" s="308" t="s">
        <v>131</v>
      </c>
      <c r="B7" s="308" t="s">
        <v>71</v>
      </c>
      <c r="C7" s="307" t="s">
        <v>70</v>
      </c>
      <c r="D7" s="308" t="s">
        <v>69</v>
      </c>
      <c r="E7" s="307" t="s">
        <v>68</v>
      </c>
      <c r="F7" s="307" t="s">
        <v>67</v>
      </c>
      <c r="G7" s="307" t="s">
        <v>66</v>
      </c>
      <c r="H7" s="307" t="s">
        <v>65</v>
      </c>
      <c r="I7" s="325" t="s">
        <v>64</v>
      </c>
      <c r="J7" s="308" t="s">
        <v>7</v>
      </c>
      <c r="K7" s="308" t="s">
        <v>47</v>
      </c>
      <c r="L7" s="308" t="s">
        <v>63</v>
      </c>
      <c r="M7" s="308" t="s">
        <v>62</v>
      </c>
      <c r="N7" s="308" t="s">
        <v>61</v>
      </c>
      <c r="O7" s="308" t="s">
        <v>60</v>
      </c>
      <c r="P7" s="307" t="s">
        <v>59</v>
      </c>
      <c r="Q7" s="307" t="s">
        <v>58</v>
      </c>
      <c r="R7" s="307" t="s">
        <v>240</v>
      </c>
      <c r="S7" s="307" t="s">
        <v>241</v>
      </c>
      <c r="T7" s="307" t="s">
        <v>57</v>
      </c>
      <c r="U7" s="307" t="s">
        <v>181</v>
      </c>
      <c r="V7" s="324" t="s">
        <v>56</v>
      </c>
      <c r="W7" s="323" t="s">
        <v>208</v>
      </c>
      <c r="X7" s="323"/>
      <c r="Y7" s="323" t="s">
        <v>132</v>
      </c>
      <c r="Z7" s="323"/>
      <c r="AA7" s="187" t="s">
        <v>209</v>
      </c>
      <c r="AB7" s="307" t="s">
        <v>55</v>
      </c>
      <c r="AC7" s="307" t="s">
        <v>54</v>
      </c>
      <c r="AD7" s="312" t="s">
        <v>53</v>
      </c>
      <c r="AE7" s="312"/>
      <c r="AF7" s="312"/>
      <c r="AG7" s="319" t="s">
        <v>263</v>
      </c>
      <c r="AH7" s="313" t="s">
        <v>137</v>
      </c>
      <c r="AI7" s="313"/>
      <c r="AJ7" s="306" t="s">
        <v>246</v>
      </c>
      <c r="AK7" s="314" t="s">
        <v>160</v>
      </c>
      <c r="AL7" s="314"/>
      <c r="AM7" s="317" t="s">
        <v>210</v>
      </c>
      <c r="AN7" s="318"/>
      <c r="AO7" s="314" t="s">
        <v>211</v>
      </c>
      <c r="AP7" s="314"/>
      <c r="AQ7" s="321" t="s">
        <v>247</v>
      </c>
      <c r="AR7" s="306" t="s">
        <v>212</v>
      </c>
      <c r="AS7" s="315" t="s">
        <v>52</v>
      </c>
      <c r="AT7" s="152"/>
      <c r="AU7" s="152"/>
      <c r="AV7" s="153" t="s">
        <v>7</v>
      </c>
      <c r="AW7" s="316" t="s">
        <v>51</v>
      </c>
      <c r="AX7" s="316"/>
      <c r="AY7" s="316"/>
      <c r="AZ7" s="315" t="s">
        <v>50</v>
      </c>
      <c r="BA7" s="310" t="s">
        <v>213</v>
      </c>
      <c r="BB7" s="304" t="s">
        <v>49</v>
      </c>
      <c r="BC7" s="306" t="s">
        <v>214</v>
      </c>
      <c r="BD7" s="148" t="s">
        <v>48</v>
      </c>
      <c r="BE7" s="148" t="s">
        <v>215</v>
      </c>
      <c r="BF7" s="148" t="s">
        <v>216</v>
      </c>
      <c r="BG7" s="154" t="s">
        <v>46</v>
      </c>
      <c r="BH7" s="307" t="s">
        <v>217</v>
      </c>
      <c r="BI7" s="307" t="s">
        <v>218</v>
      </c>
      <c r="BJ7" s="309" t="s">
        <v>262</v>
      </c>
    </row>
    <row r="8" spans="1:63" s="189" customFormat="1" ht="21.75" customHeight="1" x14ac:dyDescent="0.25">
      <c r="A8" s="308"/>
      <c r="B8" s="308"/>
      <c r="C8" s="307"/>
      <c r="D8" s="308"/>
      <c r="E8" s="307"/>
      <c r="F8" s="307"/>
      <c r="G8" s="307"/>
      <c r="H8" s="307"/>
      <c r="I8" s="325"/>
      <c r="J8" s="308"/>
      <c r="K8" s="308"/>
      <c r="L8" s="308"/>
      <c r="M8" s="308"/>
      <c r="N8" s="308"/>
      <c r="O8" s="308"/>
      <c r="P8" s="307"/>
      <c r="Q8" s="307"/>
      <c r="R8" s="307"/>
      <c r="S8" s="307"/>
      <c r="T8" s="307"/>
      <c r="U8" s="307"/>
      <c r="V8" s="324"/>
      <c r="W8" s="149" t="s">
        <v>135</v>
      </c>
      <c r="X8" s="149" t="s">
        <v>138</v>
      </c>
      <c r="Y8" s="149" t="s">
        <v>135</v>
      </c>
      <c r="Z8" s="149" t="s">
        <v>138</v>
      </c>
      <c r="AA8" s="150" t="s">
        <v>82</v>
      </c>
      <c r="AB8" s="307"/>
      <c r="AC8" s="307"/>
      <c r="AD8" s="149" t="s">
        <v>219</v>
      </c>
      <c r="AE8" s="149" t="s">
        <v>136</v>
      </c>
      <c r="AF8" s="149" t="s">
        <v>220</v>
      </c>
      <c r="AG8" s="320"/>
      <c r="AH8" s="151" t="s">
        <v>135</v>
      </c>
      <c r="AI8" s="151" t="s">
        <v>138</v>
      </c>
      <c r="AJ8" s="306"/>
      <c r="AK8" s="188" t="s">
        <v>221</v>
      </c>
      <c r="AL8" s="188" t="s">
        <v>136</v>
      </c>
      <c r="AM8" s="188" t="s">
        <v>222</v>
      </c>
      <c r="AN8" s="188" t="s">
        <v>136</v>
      </c>
      <c r="AO8" s="188" t="s">
        <v>221</v>
      </c>
      <c r="AP8" s="188" t="s">
        <v>136</v>
      </c>
      <c r="AQ8" s="322"/>
      <c r="AR8" s="306"/>
      <c r="AS8" s="315"/>
      <c r="AT8" s="152" t="s">
        <v>124</v>
      </c>
      <c r="AU8" s="152"/>
      <c r="AV8" s="156">
        <v>0.13</v>
      </c>
      <c r="AW8" s="156">
        <v>0.1</v>
      </c>
      <c r="AX8" s="157" t="s">
        <v>45</v>
      </c>
      <c r="AY8" s="157" t="s">
        <v>1</v>
      </c>
      <c r="AZ8" s="315"/>
      <c r="BA8" s="311"/>
      <c r="BB8" s="305"/>
      <c r="BC8" s="306"/>
      <c r="BD8" s="158">
        <v>0.09</v>
      </c>
      <c r="BE8" s="159">
        <v>2.1399999999999999E-2</v>
      </c>
      <c r="BF8" s="159"/>
      <c r="BG8" s="160" t="s">
        <v>44</v>
      </c>
      <c r="BH8" s="307"/>
      <c r="BI8" s="308"/>
      <c r="BJ8" s="309"/>
      <c r="BK8" s="190"/>
    </row>
    <row r="9" spans="1:63" s="20" customFormat="1" ht="16.5" customHeight="1" x14ac:dyDescent="0.2">
      <c r="A9" s="219"/>
      <c r="B9" s="184"/>
      <c r="C9" s="219"/>
      <c r="D9" s="219"/>
      <c r="E9" s="219"/>
      <c r="F9" s="220"/>
      <c r="G9" s="219"/>
      <c r="H9" s="219"/>
      <c r="I9" s="219"/>
      <c r="J9" s="219"/>
      <c r="K9" s="219"/>
      <c r="L9" s="219"/>
      <c r="M9" s="219"/>
      <c r="N9" s="220"/>
      <c r="O9" s="220"/>
      <c r="P9" s="219"/>
      <c r="Q9" s="219"/>
      <c r="R9" s="219"/>
      <c r="S9" s="220"/>
      <c r="T9" s="221"/>
      <c r="U9" s="219"/>
      <c r="V9" s="219"/>
      <c r="W9" s="219"/>
      <c r="X9" s="219"/>
      <c r="Y9" s="219"/>
      <c r="Z9" s="219"/>
      <c r="AA9" s="219"/>
      <c r="AB9" s="219"/>
      <c r="AC9" s="151"/>
      <c r="AD9" s="151"/>
      <c r="AE9" s="151"/>
      <c r="AF9" s="219"/>
      <c r="AG9" s="219"/>
      <c r="AH9" s="219"/>
      <c r="AI9" s="219"/>
      <c r="AJ9" s="219"/>
      <c r="AK9" s="219"/>
      <c r="AL9" s="219"/>
      <c r="AM9" s="219"/>
      <c r="AN9" s="219"/>
      <c r="AO9" s="219"/>
      <c r="AP9" s="219"/>
      <c r="AQ9" s="219"/>
      <c r="AR9" s="219"/>
      <c r="AS9" s="222"/>
      <c r="AT9" s="219"/>
      <c r="AU9" s="219"/>
      <c r="AV9" s="219"/>
      <c r="AW9" s="219"/>
      <c r="AX9" s="219"/>
      <c r="AY9" s="219"/>
      <c r="AZ9" s="151"/>
      <c r="BA9" s="151"/>
      <c r="BB9" s="223"/>
      <c r="BC9" s="219"/>
      <c r="BD9" s="224"/>
      <c r="BE9" s="225"/>
      <c r="BF9" s="225"/>
      <c r="BG9" s="225"/>
      <c r="BH9" s="219"/>
      <c r="BI9" s="219"/>
      <c r="BJ9" s="226"/>
      <c r="BK9" s="227"/>
    </row>
    <row r="10" spans="1:63" s="189" customFormat="1" ht="17.100000000000001" customHeight="1" x14ac:dyDescent="0.2">
      <c r="A10" s="228">
        <v>1</v>
      </c>
      <c r="B10" s="229" t="s">
        <v>185</v>
      </c>
      <c r="C10" s="161"/>
      <c r="D10" s="162">
        <v>71246290</v>
      </c>
      <c r="E10" s="163">
        <v>46143</v>
      </c>
      <c r="F10" s="230"/>
      <c r="G10" s="164" t="s">
        <v>8</v>
      </c>
      <c r="H10" s="229" t="s">
        <v>245</v>
      </c>
      <c r="I10" s="231" t="s">
        <v>5</v>
      </c>
      <c r="J10" s="184" t="s">
        <v>4</v>
      </c>
      <c r="K10" s="184" t="s">
        <v>11</v>
      </c>
      <c r="L10" s="184" t="s">
        <v>4</v>
      </c>
      <c r="M10" s="184"/>
      <c r="N10" s="229" t="s">
        <v>41</v>
      </c>
      <c r="O10" s="229" t="s">
        <v>243</v>
      </c>
      <c r="P10" s="165">
        <v>4500</v>
      </c>
      <c r="Q10" s="165"/>
      <c r="R10" s="165"/>
      <c r="S10" s="165"/>
      <c r="T10" s="166">
        <f t="shared" ref="T10:T24" si="41">P10+Q10+R10+S10</f>
        <v>4500</v>
      </c>
      <c r="U10" s="167">
        <f>'HOJA RXH'!AH6</f>
        <v>8</v>
      </c>
      <c r="V10" s="168"/>
      <c r="W10" s="254">
        <f>'HOJA RXH'!Z6</f>
        <v>7</v>
      </c>
      <c r="X10" s="170">
        <f t="shared" ref="X10:X24" si="42">((P10+Q10)/$C$3)*W10</f>
        <v>1050</v>
      </c>
      <c r="Y10" s="257">
        <f>'HOJA RXH'!AD6</f>
        <v>0</v>
      </c>
      <c r="Z10" s="186">
        <f>(T10/30/8/60*Y10)</f>
        <v>0</v>
      </c>
      <c r="AA10" s="171"/>
      <c r="AB10" s="171"/>
      <c r="AC10" s="172">
        <f>(P10/30)*V10</f>
        <v>0</v>
      </c>
      <c r="AD10" s="172"/>
      <c r="AE10" s="172"/>
      <c r="AF10" s="172"/>
      <c r="AG10" s="172"/>
      <c r="AH10" s="172">
        <f>'HOJA RXH'!V6</f>
        <v>0</v>
      </c>
      <c r="AI10" s="172"/>
      <c r="AJ10" s="173">
        <f t="shared" ref="AJ10:AJ24" si="43">(((P10+Q10)/30)*U10)-Z10+AA10+AB10+AC10+AF10+AG10+AI10</f>
        <v>1200</v>
      </c>
      <c r="AK10" s="254">
        <f>'HOJA RXH'!J6</f>
        <v>0</v>
      </c>
      <c r="AL10" s="169">
        <f t="shared" ref="AL10:AL19" si="44">T10/30*AK10</f>
        <v>0</v>
      </c>
      <c r="AM10" s="254">
        <f>'HOJA RXH'!F6</f>
        <v>5</v>
      </c>
      <c r="AN10" s="169">
        <f>T10/30/10*AM10</f>
        <v>75</v>
      </c>
      <c r="AO10" s="169">
        <f>'HOJA RXH'!N6</f>
        <v>0</v>
      </c>
      <c r="AP10" s="169">
        <f t="shared" ref="AP10:AP19" si="45">T10/30*AO10</f>
        <v>0</v>
      </c>
      <c r="AQ10" s="169">
        <v>0</v>
      </c>
      <c r="AR10" s="173">
        <f t="shared" ref="AR10:AR24" si="46">((R10/$C$3)*(U10-V10))+AL10+AP10+AN10+AQ10</f>
        <v>75</v>
      </c>
      <c r="AS10" s="191" t="s">
        <v>112</v>
      </c>
      <c r="AT10" s="192">
        <v>0</v>
      </c>
      <c r="AU10" s="192">
        <v>1.37E-2</v>
      </c>
      <c r="AV10" s="174">
        <f>IF(AS10="ONP",VLOOKUP(AS10,TASAS!TAB_AFP,8,0)*AJ10,0)</f>
        <v>0</v>
      </c>
      <c r="AW10" s="174">
        <f t="shared" ref="AW10:AW24" si="47">IF(AS10&lt;&gt;"ONP",AJ10*$AW$8,0)</f>
        <v>120</v>
      </c>
      <c r="AX10" s="174">
        <f t="shared" ref="AX10:AX24" si="48">IF(AS10&lt;&gt;"ONP",AJ10*AT10,0)</f>
        <v>0</v>
      </c>
      <c r="AY10" s="174">
        <f t="shared" ref="AY10:AY24" si="49">IF(AU10&lt;&gt;"ONP",AJ10*AU10,0)</f>
        <v>16.440000000000001</v>
      </c>
      <c r="AZ10" s="175">
        <f t="shared" ref="AZ10:AZ24" si="50">+AX10+AY10+AW10</f>
        <v>136.44</v>
      </c>
      <c r="BA10" s="176">
        <f t="shared" ref="BA10:BA24" si="51">+AZ10+AV10</f>
        <v>136.44</v>
      </c>
      <c r="BB10" s="177"/>
      <c r="BC10" s="178">
        <f>AJ10+AR10-BA10-BB10</f>
        <v>1138.56</v>
      </c>
      <c r="BD10" s="175">
        <f t="shared" ref="BD10:BD24" si="52">ROUND(AJ10*$BD$8,2)</f>
        <v>108</v>
      </c>
      <c r="BE10" s="175">
        <f>IF(K10="SI",AJ10*2.14%,0)</f>
        <v>25.680000000000003</v>
      </c>
      <c r="BF10" s="175"/>
      <c r="BG10" s="175">
        <f t="shared" ref="BG10:BG24" si="53">+P10*0.54%</f>
        <v>24.3</v>
      </c>
      <c r="BH10" s="169"/>
      <c r="BI10" s="175"/>
      <c r="BJ10" s="179">
        <f>BC10-BH10+BI10</f>
        <v>1138.56</v>
      </c>
      <c r="BK10" s="232"/>
    </row>
    <row r="11" spans="1:63" s="189" customFormat="1" ht="17.100000000000001" customHeight="1" x14ac:dyDescent="0.2">
      <c r="A11" s="228">
        <v>2</v>
      </c>
      <c r="B11" s="229" t="s">
        <v>186</v>
      </c>
      <c r="C11" s="161"/>
      <c r="D11" s="162">
        <v>9594305</v>
      </c>
      <c r="E11" s="163">
        <v>45413</v>
      </c>
      <c r="F11" s="230"/>
      <c r="G11" s="164" t="s">
        <v>8</v>
      </c>
      <c r="H11" s="229" t="s">
        <v>223</v>
      </c>
      <c r="I11" s="231" t="s">
        <v>5</v>
      </c>
      <c r="J11" s="184" t="s">
        <v>4</v>
      </c>
      <c r="K11" s="184" t="s">
        <v>11</v>
      </c>
      <c r="L11" s="184" t="s">
        <v>4</v>
      </c>
      <c r="M11" s="184" t="s">
        <v>224</v>
      </c>
      <c r="N11" s="229" t="s">
        <v>242</v>
      </c>
      <c r="O11" s="229" t="s">
        <v>133</v>
      </c>
      <c r="P11" s="165">
        <v>2530</v>
      </c>
      <c r="Q11" s="165">
        <v>113</v>
      </c>
      <c r="R11" s="165">
        <v>750</v>
      </c>
      <c r="S11" s="165"/>
      <c r="T11" s="166">
        <f t="shared" si="41"/>
        <v>3393</v>
      </c>
      <c r="U11" s="167">
        <f>'HOJA RXH'!AH7</f>
        <v>15</v>
      </c>
      <c r="V11" s="168"/>
      <c r="W11" s="254">
        <f>'HOJA RXH'!Z7</f>
        <v>0</v>
      </c>
      <c r="X11" s="170">
        <f t="shared" si="42"/>
        <v>0</v>
      </c>
      <c r="Y11" s="257">
        <f>'HOJA RXH'!AD7</f>
        <v>59.999999999999886</v>
      </c>
      <c r="Z11" s="186">
        <f t="shared" ref="Z11:Z24" si="54">(T11/30/8/60*Y11)</f>
        <v>14.137499999999973</v>
      </c>
      <c r="AA11" s="171"/>
      <c r="AB11" s="171"/>
      <c r="AC11" s="172">
        <f>(P11/30)*V11</f>
        <v>0</v>
      </c>
      <c r="AD11" s="172"/>
      <c r="AE11" s="172"/>
      <c r="AF11" s="172"/>
      <c r="AG11" s="172"/>
      <c r="AH11" s="172">
        <f>'HOJA RXH'!V7</f>
        <v>0</v>
      </c>
      <c r="AI11" s="172"/>
      <c r="AJ11" s="173">
        <f t="shared" si="43"/>
        <v>1307.3625</v>
      </c>
      <c r="AK11" s="254">
        <f>'HOJA RXH'!J7</f>
        <v>0</v>
      </c>
      <c r="AL11" s="169">
        <f t="shared" si="44"/>
        <v>0</v>
      </c>
      <c r="AM11" s="254">
        <f>'HOJA RXH'!F7</f>
        <v>0</v>
      </c>
      <c r="AN11" s="169">
        <f t="shared" ref="AN11:AN24" si="55">T11/30/10*AM11</f>
        <v>0</v>
      </c>
      <c r="AO11" s="169">
        <f>'HOJA RXH'!N7</f>
        <v>0</v>
      </c>
      <c r="AP11" s="169">
        <f t="shared" si="45"/>
        <v>0</v>
      </c>
      <c r="AQ11" s="169">
        <v>0</v>
      </c>
      <c r="AR11" s="173">
        <f t="shared" si="46"/>
        <v>375</v>
      </c>
      <c r="AS11" s="191" t="s">
        <v>113</v>
      </c>
      <c r="AT11" s="192">
        <v>0</v>
      </c>
      <c r="AU11" s="192">
        <v>1.37E-2</v>
      </c>
      <c r="AV11" s="174">
        <f>IF(AS11="ONP",VLOOKUP(AS11,TASAS!TAB_AFP,8,0)*AJ11,0)</f>
        <v>0</v>
      </c>
      <c r="AW11" s="174">
        <f t="shared" si="47"/>
        <v>130.73625000000001</v>
      </c>
      <c r="AX11" s="174">
        <f t="shared" si="48"/>
        <v>0</v>
      </c>
      <c r="AY11" s="174">
        <f t="shared" si="49"/>
        <v>17.910866250000002</v>
      </c>
      <c r="AZ11" s="175">
        <f t="shared" si="50"/>
        <v>148.64711625000001</v>
      </c>
      <c r="BA11" s="176">
        <f t="shared" si="51"/>
        <v>148.64711625000001</v>
      </c>
      <c r="BB11" s="177"/>
      <c r="BC11" s="178">
        <f t="shared" ref="BC11:BC24" si="56">AJ11+AR11-BA11-BB11</f>
        <v>1533.71538375</v>
      </c>
      <c r="BD11" s="175">
        <f t="shared" si="52"/>
        <v>117.66</v>
      </c>
      <c r="BE11" s="175">
        <f>IF(K11="SI",AJ11*2.14%,0)</f>
        <v>27.977557500000003</v>
      </c>
      <c r="BF11" s="175"/>
      <c r="BG11" s="175">
        <f t="shared" si="53"/>
        <v>13.662000000000001</v>
      </c>
      <c r="BH11" s="169"/>
      <c r="BI11" s="175"/>
      <c r="BJ11" s="179">
        <f t="shared" ref="BJ11:BJ24" si="57">BC11-BH11+BI11</f>
        <v>1533.71538375</v>
      </c>
      <c r="BK11" s="232"/>
    </row>
    <row r="12" spans="1:63" ht="17.100000000000001" customHeight="1" x14ac:dyDescent="0.2">
      <c r="A12" s="228">
        <v>3</v>
      </c>
      <c r="B12" s="229" t="s">
        <v>43</v>
      </c>
      <c r="C12" s="161">
        <v>28322</v>
      </c>
      <c r="D12" s="162">
        <v>28316078</v>
      </c>
      <c r="E12" s="163">
        <v>43983</v>
      </c>
      <c r="F12" s="230"/>
      <c r="G12" s="164" t="s">
        <v>8</v>
      </c>
      <c r="H12" s="229" t="s">
        <v>223</v>
      </c>
      <c r="I12" s="231" t="s">
        <v>5</v>
      </c>
      <c r="J12" s="184" t="s">
        <v>4</v>
      </c>
      <c r="K12" s="184" t="s">
        <v>11</v>
      </c>
      <c r="L12" s="184" t="s">
        <v>4</v>
      </c>
      <c r="M12" s="184" t="s">
        <v>42</v>
      </c>
      <c r="N12" s="229" t="s">
        <v>41</v>
      </c>
      <c r="O12" s="229" t="s">
        <v>40</v>
      </c>
      <c r="P12" s="165">
        <v>4000</v>
      </c>
      <c r="Q12" s="165">
        <v>113</v>
      </c>
      <c r="R12" s="165">
        <v>1000</v>
      </c>
      <c r="S12" s="165"/>
      <c r="T12" s="166">
        <f t="shared" si="41"/>
        <v>5113</v>
      </c>
      <c r="U12" s="167">
        <f>'HOJA RXH'!AH8</f>
        <v>15</v>
      </c>
      <c r="V12" s="168"/>
      <c r="W12" s="254">
        <f>'HOJA RXH'!Z8</f>
        <v>0</v>
      </c>
      <c r="X12" s="170">
        <f t="shared" si="42"/>
        <v>0</v>
      </c>
      <c r="Y12" s="257">
        <f>'HOJA RXH'!AD8</f>
        <v>0</v>
      </c>
      <c r="Z12" s="186">
        <f t="shared" si="54"/>
        <v>0</v>
      </c>
      <c r="AA12" s="171"/>
      <c r="AB12" s="171"/>
      <c r="AC12" s="180"/>
      <c r="AD12" s="180"/>
      <c r="AE12" s="180"/>
      <c r="AF12" s="172"/>
      <c r="AG12" s="172"/>
      <c r="AH12" s="172">
        <f>'HOJA RXH'!V8</f>
        <v>0</v>
      </c>
      <c r="AI12" s="172"/>
      <c r="AJ12" s="173">
        <f t="shared" si="43"/>
        <v>2056.5</v>
      </c>
      <c r="AK12" s="254">
        <f>'HOJA RXH'!J8</f>
        <v>2</v>
      </c>
      <c r="AL12" s="169">
        <f t="shared" si="44"/>
        <v>340.86666666666667</v>
      </c>
      <c r="AM12" s="254">
        <f>'HOJA RXH'!F8</f>
        <v>0</v>
      </c>
      <c r="AN12" s="169">
        <f t="shared" si="55"/>
        <v>0</v>
      </c>
      <c r="AO12" s="169">
        <f>'HOJA RXH'!N8</f>
        <v>0</v>
      </c>
      <c r="AP12" s="169">
        <f t="shared" si="45"/>
        <v>0</v>
      </c>
      <c r="AQ12" s="169">
        <v>0</v>
      </c>
      <c r="AR12" s="173">
        <f t="shared" si="46"/>
        <v>840.86666666666679</v>
      </c>
      <c r="AS12" s="191" t="s">
        <v>225</v>
      </c>
      <c r="AT12" s="192">
        <v>1.6899999999999998E-2</v>
      </c>
      <c r="AU12" s="192">
        <v>1.37E-2</v>
      </c>
      <c r="AV12" s="174">
        <f>IF(AS12="ONP",VLOOKUP(AS12,TASAS!TAB_AFP,8,0)*AJ12,0)</f>
        <v>0</v>
      </c>
      <c r="AW12" s="174">
        <f t="shared" si="47"/>
        <v>205.65</v>
      </c>
      <c r="AX12" s="174">
        <f t="shared" si="48"/>
        <v>34.754849999999998</v>
      </c>
      <c r="AY12" s="174">
        <f t="shared" si="49"/>
        <v>28.174050000000001</v>
      </c>
      <c r="AZ12" s="175">
        <f t="shared" si="50"/>
        <v>268.57889999999998</v>
      </c>
      <c r="BA12" s="176">
        <f t="shared" si="51"/>
        <v>268.57889999999998</v>
      </c>
      <c r="BB12" s="177"/>
      <c r="BC12" s="178">
        <f t="shared" si="56"/>
        <v>2628.7877666666668</v>
      </c>
      <c r="BD12" s="175">
        <f t="shared" si="52"/>
        <v>185.09</v>
      </c>
      <c r="BE12" s="175">
        <f>IF(K12="SI",AJ12*2.14%,0)</f>
        <v>44.009100000000004</v>
      </c>
      <c r="BF12" s="175"/>
      <c r="BG12" s="175">
        <f t="shared" si="53"/>
        <v>21.6</v>
      </c>
      <c r="BH12" s="169"/>
      <c r="BI12" s="172"/>
      <c r="BJ12" s="179">
        <f t="shared" si="57"/>
        <v>2628.7877666666668</v>
      </c>
      <c r="BK12" s="232"/>
    </row>
    <row r="13" spans="1:63" s="189" customFormat="1" ht="17.100000000000001" customHeight="1" x14ac:dyDescent="0.2">
      <c r="A13" s="228">
        <v>4</v>
      </c>
      <c r="B13" s="229" t="s">
        <v>38</v>
      </c>
      <c r="C13" s="161">
        <v>22411</v>
      </c>
      <c r="D13" s="162">
        <v>6596301</v>
      </c>
      <c r="E13" s="163">
        <v>40269</v>
      </c>
      <c r="F13" s="230"/>
      <c r="G13" s="164" t="s">
        <v>8</v>
      </c>
      <c r="H13" s="229" t="s">
        <v>12</v>
      </c>
      <c r="I13" s="231" t="s">
        <v>18</v>
      </c>
      <c r="J13" s="184" t="s">
        <v>4</v>
      </c>
      <c r="K13" s="184" t="s">
        <v>11</v>
      </c>
      <c r="L13" s="184" t="s">
        <v>4</v>
      </c>
      <c r="M13" s="184" t="s">
        <v>37</v>
      </c>
      <c r="N13" s="229" t="s">
        <v>36</v>
      </c>
      <c r="O13" s="229" t="s">
        <v>35</v>
      </c>
      <c r="P13" s="165">
        <v>1130</v>
      </c>
      <c r="Q13" s="165">
        <v>0</v>
      </c>
      <c r="R13" s="165">
        <v>600</v>
      </c>
      <c r="S13" s="165"/>
      <c r="T13" s="166">
        <f t="shared" si="41"/>
        <v>1730</v>
      </c>
      <c r="U13" s="167">
        <f>'HOJA RXH'!AH9</f>
        <v>14</v>
      </c>
      <c r="V13" s="168"/>
      <c r="W13" s="254">
        <f>'HOJA RXH'!Z9</f>
        <v>1</v>
      </c>
      <c r="X13" s="170">
        <f t="shared" si="42"/>
        <v>37.666666666666664</v>
      </c>
      <c r="Y13" s="257">
        <f>'HOJA RXH'!AD9</f>
        <v>170.99999999999994</v>
      </c>
      <c r="Z13" s="186">
        <f t="shared" si="54"/>
        <v>20.543749999999992</v>
      </c>
      <c r="AA13" s="171"/>
      <c r="AB13" s="171"/>
      <c r="AC13" s="172"/>
      <c r="AD13" s="172"/>
      <c r="AE13" s="172"/>
      <c r="AF13" s="172"/>
      <c r="AG13" s="172"/>
      <c r="AH13" s="172">
        <f>'HOJA RXH'!V9</f>
        <v>0</v>
      </c>
      <c r="AI13" s="172"/>
      <c r="AJ13" s="173">
        <f t="shared" si="43"/>
        <v>506.78958333333327</v>
      </c>
      <c r="AK13" s="254">
        <f>'HOJA RXH'!J9</f>
        <v>0</v>
      </c>
      <c r="AL13" s="169">
        <f t="shared" si="44"/>
        <v>0</v>
      </c>
      <c r="AM13" s="254">
        <f>'HOJA RXH'!F9</f>
        <v>0</v>
      </c>
      <c r="AN13" s="169">
        <f t="shared" si="55"/>
        <v>0</v>
      </c>
      <c r="AO13" s="169">
        <f>'HOJA RXH'!N9</f>
        <v>0</v>
      </c>
      <c r="AP13" s="169">
        <f t="shared" si="45"/>
        <v>0</v>
      </c>
      <c r="AQ13" s="169">
        <v>0</v>
      </c>
      <c r="AR13" s="173">
        <f t="shared" si="46"/>
        <v>280</v>
      </c>
      <c r="AS13" s="191" t="s">
        <v>226</v>
      </c>
      <c r="AT13" s="192">
        <v>1.6E-2</v>
      </c>
      <c r="AU13" s="192">
        <v>1.37E-2</v>
      </c>
      <c r="AV13" s="174">
        <f>IF(AS13="ONP",VLOOKUP(AS13,TASAS!TAB_AFP,8,0)*AJ13,0)</f>
        <v>0</v>
      </c>
      <c r="AW13" s="174">
        <f t="shared" si="47"/>
        <v>50.678958333333327</v>
      </c>
      <c r="AX13" s="174">
        <f t="shared" si="48"/>
        <v>8.1086333333333318</v>
      </c>
      <c r="AY13" s="174">
        <f t="shared" si="49"/>
        <v>6.9430172916666661</v>
      </c>
      <c r="AZ13" s="175">
        <f t="shared" si="50"/>
        <v>65.73060895833332</v>
      </c>
      <c r="BA13" s="176">
        <f t="shared" si="51"/>
        <v>65.73060895833332</v>
      </c>
      <c r="BB13" s="177"/>
      <c r="BC13" s="178">
        <f t="shared" si="56"/>
        <v>721.05897437499993</v>
      </c>
      <c r="BD13" s="175">
        <f t="shared" si="52"/>
        <v>45.61</v>
      </c>
      <c r="BE13" s="175">
        <v>44.99</v>
      </c>
      <c r="BF13" s="175"/>
      <c r="BG13" s="175">
        <f t="shared" si="53"/>
        <v>6.1020000000000003</v>
      </c>
      <c r="BH13" s="169"/>
      <c r="BI13" s="175"/>
      <c r="BJ13" s="179">
        <f t="shared" si="57"/>
        <v>721.05897437499993</v>
      </c>
      <c r="BK13" s="232"/>
    </row>
    <row r="14" spans="1:63" s="189" customFormat="1" ht="17.100000000000001" customHeight="1" x14ac:dyDescent="0.2">
      <c r="A14" s="228">
        <v>5</v>
      </c>
      <c r="B14" s="229" t="s">
        <v>187</v>
      </c>
      <c r="C14" s="161" t="s">
        <v>125</v>
      </c>
      <c r="D14" s="162">
        <v>7717984</v>
      </c>
      <c r="E14" s="163">
        <v>46143</v>
      </c>
      <c r="F14" s="230"/>
      <c r="G14" s="164" t="s">
        <v>8</v>
      </c>
      <c r="H14" s="229" t="s">
        <v>245</v>
      </c>
      <c r="I14" s="231" t="s">
        <v>5</v>
      </c>
      <c r="J14" s="184" t="s">
        <v>4</v>
      </c>
      <c r="K14" s="184" t="s">
        <v>11</v>
      </c>
      <c r="L14" s="184" t="s">
        <v>4</v>
      </c>
      <c r="M14" s="184"/>
      <c r="N14" s="229" t="s">
        <v>242</v>
      </c>
      <c r="O14" s="229" t="s">
        <v>244</v>
      </c>
      <c r="P14" s="165">
        <v>6000</v>
      </c>
      <c r="Q14" s="165"/>
      <c r="R14" s="165"/>
      <c r="S14" s="165"/>
      <c r="T14" s="166">
        <f t="shared" si="41"/>
        <v>6000</v>
      </c>
      <c r="U14" s="167">
        <f>'HOJA RXH'!AH10</f>
        <v>15</v>
      </c>
      <c r="V14" s="168"/>
      <c r="W14" s="254">
        <f>'HOJA RXH'!Z10</f>
        <v>0</v>
      </c>
      <c r="X14" s="170">
        <f t="shared" si="42"/>
        <v>0</v>
      </c>
      <c r="Y14" s="257">
        <f>'HOJA RXH'!AD10</f>
        <v>0</v>
      </c>
      <c r="Z14" s="186">
        <f t="shared" si="54"/>
        <v>0</v>
      </c>
      <c r="AA14" s="171"/>
      <c r="AB14" s="171"/>
      <c r="AC14" s="172"/>
      <c r="AD14" s="172"/>
      <c r="AE14" s="172"/>
      <c r="AF14" s="172"/>
      <c r="AG14" s="172"/>
      <c r="AH14" s="172">
        <f>'HOJA RXH'!V10</f>
        <v>0</v>
      </c>
      <c r="AI14" s="172"/>
      <c r="AJ14" s="173">
        <f t="shared" si="43"/>
        <v>3000</v>
      </c>
      <c r="AK14" s="254">
        <f>'HOJA RXH'!J10</f>
        <v>0</v>
      </c>
      <c r="AL14" s="169">
        <f t="shared" si="44"/>
        <v>0</v>
      </c>
      <c r="AM14" s="254">
        <f>'HOJA RXH'!F10</f>
        <v>0</v>
      </c>
      <c r="AN14" s="169">
        <f t="shared" si="55"/>
        <v>0</v>
      </c>
      <c r="AO14" s="169">
        <f>'HOJA RXH'!N10</f>
        <v>0</v>
      </c>
      <c r="AP14" s="169">
        <f t="shared" si="45"/>
        <v>0</v>
      </c>
      <c r="AQ14" s="169">
        <v>0</v>
      </c>
      <c r="AR14" s="173">
        <f t="shared" si="46"/>
        <v>0</v>
      </c>
      <c r="AS14" s="191">
        <v>0</v>
      </c>
      <c r="AT14" s="193"/>
      <c r="AU14" s="192"/>
      <c r="AV14" s="174">
        <f>IF(AS14="ONP",VLOOKUP(AS14,TASAS!TAB_AFP,8,0)*AJ14,0)</f>
        <v>0</v>
      </c>
      <c r="AW14" s="174">
        <v>0</v>
      </c>
      <c r="AX14" s="174">
        <f t="shared" si="48"/>
        <v>0</v>
      </c>
      <c r="AY14" s="174">
        <f t="shared" si="49"/>
        <v>0</v>
      </c>
      <c r="AZ14" s="175">
        <f t="shared" si="50"/>
        <v>0</v>
      </c>
      <c r="BA14" s="176">
        <f t="shared" si="51"/>
        <v>0</v>
      </c>
      <c r="BB14" s="177"/>
      <c r="BC14" s="178">
        <f t="shared" si="56"/>
        <v>3000</v>
      </c>
      <c r="BD14" s="175">
        <f t="shared" si="52"/>
        <v>270</v>
      </c>
      <c r="BE14" s="175">
        <f t="shared" ref="BE14:BE24" si="58">IF(K14="SI",AJ14*2.14%,0)</f>
        <v>64.2</v>
      </c>
      <c r="BF14" s="175"/>
      <c r="BG14" s="175">
        <f t="shared" si="53"/>
        <v>32.4</v>
      </c>
      <c r="BH14" s="169"/>
      <c r="BI14" s="175"/>
      <c r="BJ14" s="179">
        <f t="shared" si="57"/>
        <v>3000</v>
      </c>
      <c r="BK14" s="232"/>
    </row>
    <row r="15" spans="1:63" s="189" customFormat="1" ht="17.100000000000001" customHeight="1" x14ac:dyDescent="0.2">
      <c r="A15" s="228">
        <v>6</v>
      </c>
      <c r="B15" s="229" t="s">
        <v>33</v>
      </c>
      <c r="C15" s="161">
        <v>30319</v>
      </c>
      <c r="D15" s="162">
        <v>41705366</v>
      </c>
      <c r="E15" s="163">
        <v>40210</v>
      </c>
      <c r="F15" s="230"/>
      <c r="G15" s="233" t="s">
        <v>6</v>
      </c>
      <c r="H15" s="229" t="s">
        <v>12</v>
      </c>
      <c r="I15" s="229" t="s">
        <v>5</v>
      </c>
      <c r="J15" s="184" t="s">
        <v>11</v>
      </c>
      <c r="K15" s="184" t="s">
        <v>4</v>
      </c>
      <c r="L15" s="184" t="s">
        <v>4</v>
      </c>
      <c r="M15" s="184" t="s">
        <v>32</v>
      </c>
      <c r="N15" s="229" t="s">
        <v>31</v>
      </c>
      <c r="O15" s="229" t="s">
        <v>30</v>
      </c>
      <c r="P15" s="165">
        <f>2000+1000</f>
        <v>3000</v>
      </c>
      <c r="Q15" s="165">
        <v>113</v>
      </c>
      <c r="R15" s="165">
        <v>1000</v>
      </c>
      <c r="S15" s="165"/>
      <c r="T15" s="166">
        <f t="shared" si="41"/>
        <v>4113</v>
      </c>
      <c r="U15" s="167">
        <f>'HOJA RXH'!AH11</f>
        <v>15</v>
      </c>
      <c r="V15" s="168"/>
      <c r="W15" s="254">
        <f>'HOJA RXH'!Z11</f>
        <v>0</v>
      </c>
      <c r="X15" s="170">
        <f t="shared" si="42"/>
        <v>0</v>
      </c>
      <c r="Y15" s="257">
        <f>'HOJA RXH'!AD11</f>
        <v>0</v>
      </c>
      <c r="Z15" s="186">
        <f t="shared" si="54"/>
        <v>0</v>
      </c>
      <c r="AA15" s="171"/>
      <c r="AB15" s="171"/>
      <c r="AC15" s="172"/>
      <c r="AD15" s="172"/>
      <c r="AE15" s="172"/>
      <c r="AF15" s="172"/>
      <c r="AG15" s="172"/>
      <c r="AH15" s="172">
        <f>'HOJA RXH'!V11</f>
        <v>0</v>
      </c>
      <c r="AI15" s="172"/>
      <c r="AJ15" s="173">
        <f t="shared" si="43"/>
        <v>1556.5</v>
      </c>
      <c r="AK15" s="254">
        <f>'HOJA RXH'!J11</f>
        <v>0</v>
      </c>
      <c r="AL15" s="169">
        <f t="shared" si="44"/>
        <v>0</v>
      </c>
      <c r="AM15" s="254">
        <f>'HOJA RXH'!F11</f>
        <v>0</v>
      </c>
      <c r="AN15" s="169">
        <f t="shared" si="55"/>
        <v>0</v>
      </c>
      <c r="AO15" s="169">
        <f>'HOJA RXH'!N11</f>
        <v>0</v>
      </c>
      <c r="AP15" s="169">
        <f t="shared" si="45"/>
        <v>0</v>
      </c>
      <c r="AQ15" s="169">
        <v>0</v>
      </c>
      <c r="AR15" s="173">
        <f t="shared" si="46"/>
        <v>500.00000000000006</v>
      </c>
      <c r="AS15" s="191" t="s">
        <v>25</v>
      </c>
      <c r="AT15" s="192">
        <v>0</v>
      </c>
      <c r="AU15" s="192">
        <v>1.37E-2</v>
      </c>
      <c r="AV15" s="174">
        <f>IF(AS15="ONP",VLOOKUP(AS15,TASAS!TAB_AFP,8,0)*AJ15,0)</f>
        <v>0</v>
      </c>
      <c r="AW15" s="174">
        <f t="shared" si="47"/>
        <v>155.65</v>
      </c>
      <c r="AX15" s="174">
        <f t="shared" si="48"/>
        <v>0</v>
      </c>
      <c r="AY15" s="174">
        <f t="shared" si="49"/>
        <v>21.32405</v>
      </c>
      <c r="AZ15" s="175">
        <f t="shared" si="50"/>
        <v>176.97405000000001</v>
      </c>
      <c r="BA15" s="176">
        <f t="shared" si="51"/>
        <v>176.97405000000001</v>
      </c>
      <c r="BB15" s="177"/>
      <c r="BC15" s="178">
        <f t="shared" si="56"/>
        <v>1879.52595</v>
      </c>
      <c r="BD15" s="175">
        <f t="shared" si="52"/>
        <v>140.09</v>
      </c>
      <c r="BE15" s="175">
        <f t="shared" si="58"/>
        <v>0</v>
      </c>
      <c r="BF15" s="175"/>
      <c r="BG15" s="175">
        <f t="shared" si="53"/>
        <v>16.2</v>
      </c>
      <c r="BH15" s="169"/>
      <c r="BI15" s="175"/>
      <c r="BJ15" s="179">
        <f t="shared" si="57"/>
        <v>1879.52595</v>
      </c>
      <c r="BK15" s="232"/>
    </row>
    <row r="16" spans="1:63" s="189" customFormat="1" ht="17.100000000000001" customHeight="1" x14ac:dyDescent="0.2">
      <c r="A16" s="228">
        <v>7</v>
      </c>
      <c r="B16" s="229" t="s">
        <v>126</v>
      </c>
      <c r="C16" s="161">
        <v>35114</v>
      </c>
      <c r="D16" s="162">
        <v>76339850</v>
      </c>
      <c r="E16" s="163">
        <v>45152</v>
      </c>
      <c r="F16" s="230"/>
      <c r="G16" s="164" t="s">
        <v>6</v>
      </c>
      <c r="H16" s="229" t="s">
        <v>227</v>
      </c>
      <c r="I16" s="231" t="s">
        <v>5</v>
      </c>
      <c r="J16" s="184" t="s">
        <v>4</v>
      </c>
      <c r="K16" s="184" t="s">
        <v>4</v>
      </c>
      <c r="L16" s="184" t="s">
        <v>4</v>
      </c>
      <c r="M16" s="184" t="s">
        <v>128</v>
      </c>
      <c r="N16" s="229" t="s">
        <v>10</v>
      </c>
      <c r="O16" s="229" t="s">
        <v>127</v>
      </c>
      <c r="P16" s="165">
        <v>1200</v>
      </c>
      <c r="Q16" s="165"/>
      <c r="R16" s="165">
        <f>300+300</f>
        <v>600</v>
      </c>
      <c r="S16" s="165"/>
      <c r="T16" s="166">
        <f t="shared" si="41"/>
        <v>1800</v>
      </c>
      <c r="U16" s="167">
        <f>'HOJA RXH'!AH12</f>
        <v>15</v>
      </c>
      <c r="V16" s="168"/>
      <c r="W16" s="254">
        <f>'HOJA RXH'!Z12</f>
        <v>0</v>
      </c>
      <c r="X16" s="170">
        <f t="shared" si="42"/>
        <v>0</v>
      </c>
      <c r="Y16" s="257">
        <f>'HOJA RXH'!AD12</f>
        <v>839.00000000000068</v>
      </c>
      <c r="Z16" s="186">
        <f t="shared" si="54"/>
        <v>104.87500000000009</v>
      </c>
      <c r="AA16" s="171"/>
      <c r="AB16" s="171"/>
      <c r="AC16" s="180"/>
      <c r="AD16" s="180"/>
      <c r="AE16" s="180"/>
      <c r="AF16" s="172"/>
      <c r="AG16" s="172"/>
      <c r="AH16" s="172">
        <f>'HOJA RXH'!V12</f>
        <v>0</v>
      </c>
      <c r="AI16" s="172"/>
      <c r="AJ16" s="173">
        <f t="shared" si="43"/>
        <v>495.12499999999989</v>
      </c>
      <c r="AK16" s="254">
        <f>'HOJA RXH'!J12</f>
        <v>0</v>
      </c>
      <c r="AL16" s="169">
        <f t="shared" si="44"/>
        <v>0</v>
      </c>
      <c r="AM16" s="254">
        <f>'HOJA RXH'!F12</f>
        <v>0</v>
      </c>
      <c r="AN16" s="169">
        <f t="shared" si="55"/>
        <v>0</v>
      </c>
      <c r="AO16" s="169">
        <f>'HOJA RXH'!N12</f>
        <v>0</v>
      </c>
      <c r="AP16" s="169">
        <f t="shared" si="45"/>
        <v>0</v>
      </c>
      <c r="AQ16" s="169">
        <v>0</v>
      </c>
      <c r="AR16" s="173">
        <f t="shared" si="46"/>
        <v>300</v>
      </c>
      <c r="AS16" s="191" t="s">
        <v>112</v>
      </c>
      <c r="AT16" s="192">
        <v>0</v>
      </c>
      <c r="AU16" s="192">
        <v>1.37E-2</v>
      </c>
      <c r="AV16" s="174">
        <f>IF(AS16="ONP",VLOOKUP(AS16,TASAS!TAB_AFP,8,0)*AJ16,0)</f>
        <v>0</v>
      </c>
      <c r="AW16" s="174">
        <f t="shared" si="47"/>
        <v>49.512499999999989</v>
      </c>
      <c r="AX16" s="174">
        <f t="shared" si="48"/>
        <v>0</v>
      </c>
      <c r="AY16" s="174">
        <f t="shared" si="49"/>
        <v>6.7832124999999985</v>
      </c>
      <c r="AZ16" s="175">
        <f t="shared" si="50"/>
        <v>56.295712499999986</v>
      </c>
      <c r="BA16" s="176">
        <f t="shared" si="51"/>
        <v>56.295712499999986</v>
      </c>
      <c r="BB16" s="177"/>
      <c r="BC16" s="178">
        <f t="shared" si="56"/>
        <v>738.82928749999985</v>
      </c>
      <c r="BD16" s="175">
        <f t="shared" si="52"/>
        <v>44.56</v>
      </c>
      <c r="BE16" s="175">
        <f t="shared" si="58"/>
        <v>0</v>
      </c>
      <c r="BF16" s="175"/>
      <c r="BG16" s="175">
        <f t="shared" si="53"/>
        <v>6.48</v>
      </c>
      <c r="BH16" s="169"/>
      <c r="BI16" s="175"/>
      <c r="BJ16" s="179">
        <f t="shared" si="57"/>
        <v>738.82928749999985</v>
      </c>
      <c r="BK16" s="232"/>
    </row>
    <row r="17" spans="1:63" s="189" customFormat="1" ht="17.100000000000001" customHeight="1" x14ac:dyDescent="0.2">
      <c r="A17" s="228">
        <v>8</v>
      </c>
      <c r="B17" s="229" t="s">
        <v>29</v>
      </c>
      <c r="C17" s="161">
        <v>29693</v>
      </c>
      <c r="D17" s="162">
        <v>40878166</v>
      </c>
      <c r="E17" s="163">
        <v>38534</v>
      </c>
      <c r="F17" s="230"/>
      <c r="G17" s="233" t="s">
        <v>6</v>
      </c>
      <c r="H17" s="229" t="s">
        <v>12</v>
      </c>
      <c r="I17" s="229" t="s">
        <v>5</v>
      </c>
      <c r="J17" s="184" t="s">
        <v>4</v>
      </c>
      <c r="K17" s="184" t="s">
        <v>4</v>
      </c>
      <c r="L17" s="184" t="s">
        <v>4</v>
      </c>
      <c r="M17" s="184" t="s">
        <v>28</v>
      </c>
      <c r="N17" s="229" t="s">
        <v>27</v>
      </c>
      <c r="O17" s="229" t="s">
        <v>26</v>
      </c>
      <c r="P17" s="165">
        <f>1425+175+300</f>
        <v>1900</v>
      </c>
      <c r="Q17" s="165">
        <v>113</v>
      </c>
      <c r="R17" s="165"/>
      <c r="S17" s="165"/>
      <c r="T17" s="166">
        <f t="shared" si="41"/>
        <v>2013</v>
      </c>
      <c r="U17" s="167">
        <f>'HOJA RXH'!AH13</f>
        <v>15</v>
      </c>
      <c r="V17" s="168"/>
      <c r="W17" s="254">
        <f>'HOJA RXH'!Z13</f>
        <v>0</v>
      </c>
      <c r="X17" s="170">
        <f t="shared" si="42"/>
        <v>0</v>
      </c>
      <c r="Y17" s="257">
        <f>'HOJA RXH'!AD13</f>
        <v>663.00000000000068</v>
      </c>
      <c r="Z17" s="186">
        <f t="shared" si="54"/>
        <v>92.681875000000076</v>
      </c>
      <c r="AA17" s="171"/>
      <c r="AB17" s="171"/>
      <c r="AC17" s="180"/>
      <c r="AD17" s="180"/>
      <c r="AE17" s="180"/>
      <c r="AF17" s="172"/>
      <c r="AG17" s="172"/>
      <c r="AH17" s="172">
        <f>'HOJA RXH'!V13</f>
        <v>0</v>
      </c>
      <c r="AI17" s="172"/>
      <c r="AJ17" s="173">
        <f t="shared" si="43"/>
        <v>913.81812499999978</v>
      </c>
      <c r="AK17" s="254">
        <f>'HOJA RXH'!J13</f>
        <v>0</v>
      </c>
      <c r="AL17" s="169">
        <f t="shared" si="44"/>
        <v>0</v>
      </c>
      <c r="AM17" s="254">
        <f>'HOJA RXH'!F13</f>
        <v>1</v>
      </c>
      <c r="AN17" s="169">
        <f t="shared" si="55"/>
        <v>6.7099999999999991</v>
      </c>
      <c r="AO17" s="169">
        <f>'HOJA RXH'!N13</f>
        <v>0</v>
      </c>
      <c r="AP17" s="169">
        <f t="shared" si="45"/>
        <v>0</v>
      </c>
      <c r="AQ17" s="169">
        <v>0</v>
      </c>
      <c r="AR17" s="173">
        <f t="shared" si="46"/>
        <v>6.7099999999999991</v>
      </c>
      <c r="AS17" s="191" t="s">
        <v>25</v>
      </c>
      <c r="AT17" s="192">
        <v>0</v>
      </c>
      <c r="AU17" s="192">
        <v>1.37E-2</v>
      </c>
      <c r="AV17" s="174">
        <f>IF(AS17="ONP",VLOOKUP(AS17,TASAS!TAB_AFP,8,0)*AJ17,0)</f>
        <v>0</v>
      </c>
      <c r="AW17" s="174">
        <f t="shared" si="47"/>
        <v>91.381812499999981</v>
      </c>
      <c r="AX17" s="174">
        <f t="shared" si="48"/>
        <v>0</v>
      </c>
      <c r="AY17" s="174">
        <f t="shared" si="49"/>
        <v>12.519308312499998</v>
      </c>
      <c r="AZ17" s="175">
        <f t="shared" si="50"/>
        <v>103.90112081249998</v>
      </c>
      <c r="BA17" s="176">
        <f t="shared" si="51"/>
        <v>103.90112081249998</v>
      </c>
      <c r="BB17" s="177"/>
      <c r="BC17" s="178">
        <f t="shared" si="56"/>
        <v>816.62700418749978</v>
      </c>
      <c r="BD17" s="175">
        <f t="shared" si="52"/>
        <v>82.24</v>
      </c>
      <c r="BE17" s="175">
        <f t="shared" si="58"/>
        <v>0</v>
      </c>
      <c r="BF17" s="175"/>
      <c r="BG17" s="175">
        <f t="shared" si="53"/>
        <v>10.26</v>
      </c>
      <c r="BH17" s="169"/>
      <c r="BI17" s="175"/>
      <c r="BJ17" s="179">
        <f t="shared" si="57"/>
        <v>816.62700418749978</v>
      </c>
      <c r="BK17" s="232"/>
    </row>
    <row r="18" spans="1:63" s="189" customFormat="1" ht="17.100000000000001" customHeight="1" x14ac:dyDescent="0.2">
      <c r="A18" s="228">
        <v>9</v>
      </c>
      <c r="B18" s="229" t="s">
        <v>24</v>
      </c>
      <c r="C18" s="161">
        <v>30536</v>
      </c>
      <c r="D18" s="162">
        <v>41974116</v>
      </c>
      <c r="E18" s="163">
        <v>43862</v>
      </c>
      <c r="F18" s="230"/>
      <c r="G18" s="164" t="s">
        <v>8</v>
      </c>
      <c r="H18" s="229" t="s">
        <v>12</v>
      </c>
      <c r="I18" s="231" t="s">
        <v>18</v>
      </c>
      <c r="J18" s="184" t="s">
        <v>11</v>
      </c>
      <c r="K18" s="184" t="s">
        <v>11</v>
      </c>
      <c r="L18" s="184" t="s">
        <v>4</v>
      </c>
      <c r="M18" s="184"/>
      <c r="N18" s="229" t="s">
        <v>16</v>
      </c>
      <c r="O18" s="229" t="s">
        <v>15</v>
      </c>
      <c r="P18" s="165">
        <v>1130</v>
      </c>
      <c r="Q18" s="165">
        <v>113</v>
      </c>
      <c r="R18" s="165">
        <f>600+200+200</f>
        <v>1000</v>
      </c>
      <c r="S18" s="165"/>
      <c r="T18" s="166">
        <f t="shared" si="41"/>
        <v>2243</v>
      </c>
      <c r="U18" s="167">
        <f>'HOJA RXH'!AH14</f>
        <v>15</v>
      </c>
      <c r="V18" s="168"/>
      <c r="W18" s="254">
        <f>'HOJA RXH'!Z14</f>
        <v>0</v>
      </c>
      <c r="X18" s="170">
        <f t="shared" si="42"/>
        <v>0</v>
      </c>
      <c r="Y18" s="257">
        <f>'HOJA RXH'!AD14</f>
        <v>21.999999999999886</v>
      </c>
      <c r="Z18" s="186">
        <f t="shared" si="54"/>
        <v>3.4268055555555379</v>
      </c>
      <c r="AA18" s="171"/>
      <c r="AB18" s="171"/>
      <c r="AC18" s="172"/>
      <c r="AD18" s="172"/>
      <c r="AE18" s="172"/>
      <c r="AF18" s="172"/>
      <c r="AG18" s="181"/>
      <c r="AH18" s="172">
        <f>'HOJA RXH'!V14</f>
        <v>0</v>
      </c>
      <c r="AI18" s="172"/>
      <c r="AJ18" s="173">
        <f t="shared" si="43"/>
        <v>618.07319444444443</v>
      </c>
      <c r="AK18" s="254">
        <f>'HOJA RXH'!J14</f>
        <v>2</v>
      </c>
      <c r="AL18" s="169">
        <f t="shared" si="44"/>
        <v>149.53333333333333</v>
      </c>
      <c r="AM18" s="254">
        <f>'HOJA RXH'!F14</f>
        <v>10</v>
      </c>
      <c r="AN18" s="169">
        <f t="shared" si="55"/>
        <v>74.766666666666666</v>
      </c>
      <c r="AO18" s="169">
        <f>'HOJA RXH'!N14</f>
        <v>0</v>
      </c>
      <c r="AP18" s="169">
        <f t="shared" si="45"/>
        <v>0</v>
      </c>
      <c r="AQ18" s="169">
        <v>0</v>
      </c>
      <c r="AR18" s="173">
        <f t="shared" si="46"/>
        <v>724.30000000000007</v>
      </c>
      <c r="AS18" s="191" t="s">
        <v>7</v>
      </c>
      <c r="AT18" s="192"/>
      <c r="AU18" s="192"/>
      <c r="AV18" s="174">
        <f>IF(AS18="ONP",VLOOKUP(AS18,TASAS!TAB_AFP,8,0)*AJ18,0)</f>
        <v>80.349515277777783</v>
      </c>
      <c r="AW18" s="174">
        <f t="shared" si="47"/>
        <v>0</v>
      </c>
      <c r="AX18" s="174">
        <f t="shared" si="48"/>
        <v>0</v>
      </c>
      <c r="AY18" s="174">
        <f t="shared" si="49"/>
        <v>0</v>
      </c>
      <c r="AZ18" s="175">
        <f t="shared" si="50"/>
        <v>0</v>
      </c>
      <c r="BA18" s="176">
        <f t="shared" si="51"/>
        <v>80.349515277777783</v>
      </c>
      <c r="BB18" s="177"/>
      <c r="BC18" s="178">
        <f t="shared" si="56"/>
        <v>1262.0236791666666</v>
      </c>
      <c r="BD18" s="175">
        <f t="shared" si="52"/>
        <v>55.63</v>
      </c>
      <c r="BE18" s="175">
        <f t="shared" si="58"/>
        <v>13.226766361111112</v>
      </c>
      <c r="BF18" s="175"/>
      <c r="BG18" s="175">
        <f t="shared" si="53"/>
        <v>6.1020000000000003</v>
      </c>
      <c r="BH18" s="169">
        <v>150</v>
      </c>
      <c r="BI18" s="175"/>
      <c r="BJ18" s="179">
        <f t="shared" si="57"/>
        <v>1112.0236791666666</v>
      </c>
      <c r="BK18" s="232" t="s">
        <v>264</v>
      </c>
    </row>
    <row r="19" spans="1:63" s="234" customFormat="1" ht="15" customHeight="1" x14ac:dyDescent="0.2">
      <c r="A19" s="228">
        <v>10</v>
      </c>
      <c r="B19" s="229" t="s">
        <v>23</v>
      </c>
      <c r="C19" s="161">
        <v>30680</v>
      </c>
      <c r="D19" s="162">
        <v>42137816</v>
      </c>
      <c r="E19" s="163">
        <v>40210</v>
      </c>
      <c r="F19" s="230"/>
      <c r="G19" s="164" t="s">
        <v>8</v>
      </c>
      <c r="H19" s="229" t="s">
        <v>12</v>
      </c>
      <c r="I19" s="231" t="s">
        <v>18</v>
      </c>
      <c r="J19" s="184" t="s">
        <v>4</v>
      </c>
      <c r="K19" s="184" t="s">
        <v>11</v>
      </c>
      <c r="L19" s="184" t="s">
        <v>4</v>
      </c>
      <c r="M19" s="184" t="s">
        <v>228</v>
      </c>
      <c r="N19" s="229" t="s">
        <v>22</v>
      </c>
      <c r="O19" s="229" t="s">
        <v>21</v>
      </c>
      <c r="P19" s="165">
        <v>1500</v>
      </c>
      <c r="Q19" s="165">
        <v>113</v>
      </c>
      <c r="R19" s="165">
        <v>1500</v>
      </c>
      <c r="S19" s="165"/>
      <c r="T19" s="166">
        <f t="shared" si="41"/>
        <v>3113</v>
      </c>
      <c r="U19" s="167">
        <f>'HOJA RXH'!AH15</f>
        <v>15</v>
      </c>
      <c r="V19" s="168"/>
      <c r="W19" s="254">
        <f>'HOJA RXH'!Z15</f>
        <v>0</v>
      </c>
      <c r="X19" s="170">
        <f t="shared" si="42"/>
        <v>0</v>
      </c>
      <c r="Y19" s="257">
        <f>'HOJA RXH'!AD15</f>
        <v>0</v>
      </c>
      <c r="Z19" s="186">
        <f t="shared" si="54"/>
        <v>0</v>
      </c>
      <c r="AA19" s="171"/>
      <c r="AB19" s="171"/>
      <c r="AC19" s="172"/>
      <c r="AD19" s="172"/>
      <c r="AE19" s="172"/>
      <c r="AF19" s="172"/>
      <c r="AG19" s="172"/>
      <c r="AH19" s="172">
        <f>'HOJA RXH'!V15</f>
        <v>0</v>
      </c>
      <c r="AI19" s="172"/>
      <c r="AJ19" s="173">
        <f t="shared" si="43"/>
        <v>806.5</v>
      </c>
      <c r="AK19" s="254">
        <f>'HOJA RXH'!J15</f>
        <v>2</v>
      </c>
      <c r="AL19" s="169">
        <f t="shared" si="44"/>
        <v>207.53333333333333</v>
      </c>
      <c r="AM19" s="254">
        <f>'HOJA RXH'!F15</f>
        <v>3</v>
      </c>
      <c r="AN19" s="169">
        <f t="shared" si="55"/>
        <v>31.130000000000003</v>
      </c>
      <c r="AO19" s="169">
        <f>'HOJA RXH'!N15</f>
        <v>0</v>
      </c>
      <c r="AP19" s="169">
        <f t="shared" si="45"/>
        <v>0</v>
      </c>
      <c r="AQ19" s="169">
        <v>0</v>
      </c>
      <c r="AR19" s="173">
        <f t="shared" si="46"/>
        <v>988.6633333333333</v>
      </c>
      <c r="AS19" s="191" t="s">
        <v>225</v>
      </c>
      <c r="AT19" s="192">
        <v>1.6899999999999998E-2</v>
      </c>
      <c r="AU19" s="192">
        <v>1.37E-2</v>
      </c>
      <c r="AV19" s="174">
        <f>IF(AS19="ONP",VLOOKUP(AS19,TASAS!TAB_AFP,8,0)*AJ19,0)</f>
        <v>0</v>
      </c>
      <c r="AW19" s="174">
        <f t="shared" si="47"/>
        <v>80.650000000000006</v>
      </c>
      <c r="AX19" s="174">
        <f t="shared" si="48"/>
        <v>13.629849999999999</v>
      </c>
      <c r="AY19" s="174">
        <f t="shared" si="49"/>
        <v>11.049050000000001</v>
      </c>
      <c r="AZ19" s="175">
        <f t="shared" si="50"/>
        <v>105.3289</v>
      </c>
      <c r="BA19" s="176">
        <f t="shared" si="51"/>
        <v>105.3289</v>
      </c>
      <c r="BB19" s="177"/>
      <c r="BC19" s="178">
        <f t="shared" si="56"/>
        <v>1689.8344333333334</v>
      </c>
      <c r="BD19" s="175">
        <f t="shared" si="52"/>
        <v>72.59</v>
      </c>
      <c r="BE19" s="175">
        <f t="shared" si="58"/>
        <v>17.259100000000004</v>
      </c>
      <c r="BF19" s="175"/>
      <c r="BG19" s="175">
        <f t="shared" si="53"/>
        <v>8.1</v>
      </c>
      <c r="BH19" s="169"/>
      <c r="BI19" s="172"/>
      <c r="BJ19" s="179">
        <f t="shared" si="57"/>
        <v>1689.8344333333334</v>
      </c>
      <c r="BK19" s="232"/>
    </row>
    <row r="20" spans="1:63" ht="17.100000000000001" customHeight="1" x14ac:dyDescent="0.2">
      <c r="A20" s="228">
        <v>11</v>
      </c>
      <c r="B20" s="231" t="s">
        <v>19</v>
      </c>
      <c r="C20" s="161">
        <v>25284</v>
      </c>
      <c r="D20" s="162">
        <v>19898777</v>
      </c>
      <c r="E20" s="163">
        <v>40788</v>
      </c>
      <c r="F20" s="230"/>
      <c r="G20" s="164" t="s">
        <v>8</v>
      </c>
      <c r="H20" s="229" t="s">
        <v>12</v>
      </c>
      <c r="I20" s="231" t="s">
        <v>5</v>
      </c>
      <c r="J20" s="184" t="s">
        <v>4</v>
      </c>
      <c r="K20" s="184" t="s">
        <v>11</v>
      </c>
      <c r="L20" s="184" t="s">
        <v>4</v>
      </c>
      <c r="M20" s="184" t="s">
        <v>17</v>
      </c>
      <c r="N20" s="229" t="s">
        <v>229</v>
      </c>
      <c r="O20" s="229" t="s">
        <v>122</v>
      </c>
      <c r="P20" s="165">
        <v>1200</v>
      </c>
      <c r="Q20" s="165">
        <v>0</v>
      </c>
      <c r="R20" s="165">
        <v>300</v>
      </c>
      <c r="S20" s="165"/>
      <c r="T20" s="166">
        <f t="shared" si="41"/>
        <v>1500</v>
      </c>
      <c r="U20" s="167">
        <f>'HOJA RXH'!AH16</f>
        <v>15</v>
      </c>
      <c r="V20" s="168"/>
      <c r="W20" s="254">
        <f>'HOJA RXH'!Z16</f>
        <v>0</v>
      </c>
      <c r="X20" s="170">
        <f t="shared" si="42"/>
        <v>0</v>
      </c>
      <c r="Y20" s="257">
        <f>'HOJA RXH'!AD16</f>
        <v>54.999999999999886</v>
      </c>
      <c r="Z20" s="186">
        <f t="shared" si="54"/>
        <v>5.7291666666666554</v>
      </c>
      <c r="AA20" s="171"/>
      <c r="AB20" s="171"/>
      <c r="AC20" s="172"/>
      <c r="AD20" s="172"/>
      <c r="AE20" s="172"/>
      <c r="AF20" s="172"/>
      <c r="AG20" s="172"/>
      <c r="AH20" s="172">
        <f>'HOJA RXH'!V16</f>
        <v>0</v>
      </c>
      <c r="AI20" s="172"/>
      <c r="AJ20" s="173">
        <f t="shared" si="43"/>
        <v>594.27083333333337</v>
      </c>
      <c r="AK20" s="254">
        <f>'HOJA RXH'!J16</f>
        <v>0</v>
      </c>
      <c r="AL20" s="169">
        <f>T20/30*AK20</f>
        <v>0</v>
      </c>
      <c r="AM20" s="254">
        <f>'HOJA RXH'!F16</f>
        <v>1</v>
      </c>
      <c r="AN20" s="169">
        <f t="shared" si="55"/>
        <v>5</v>
      </c>
      <c r="AO20" s="169">
        <f>'HOJA RXH'!N16</f>
        <v>0</v>
      </c>
      <c r="AP20" s="169">
        <f>T20/30*AO20</f>
        <v>0</v>
      </c>
      <c r="AQ20" s="169">
        <v>0</v>
      </c>
      <c r="AR20" s="173">
        <f t="shared" si="46"/>
        <v>155</v>
      </c>
      <c r="AS20" s="191" t="s">
        <v>230</v>
      </c>
      <c r="AT20" s="192">
        <v>1.55E-2</v>
      </c>
      <c r="AU20" s="192">
        <v>1.37E-2</v>
      </c>
      <c r="AV20" s="174">
        <f>IF(AS20="ONP",VLOOKUP(AS20,TASAS!TAB_AFP,8,0)*AJ20,0)</f>
        <v>0</v>
      </c>
      <c r="AW20" s="174">
        <f t="shared" si="47"/>
        <v>59.427083333333343</v>
      </c>
      <c r="AX20" s="174">
        <f t="shared" si="48"/>
        <v>9.2111979166666664</v>
      </c>
      <c r="AY20" s="174">
        <f t="shared" si="49"/>
        <v>8.1415104166666676</v>
      </c>
      <c r="AZ20" s="175">
        <f t="shared" si="50"/>
        <v>76.779791666666682</v>
      </c>
      <c r="BA20" s="176">
        <f t="shared" si="51"/>
        <v>76.779791666666682</v>
      </c>
      <c r="BB20" s="177"/>
      <c r="BC20" s="178">
        <f t="shared" si="56"/>
        <v>672.49104166666666</v>
      </c>
      <c r="BD20" s="175">
        <f t="shared" si="52"/>
        <v>53.48</v>
      </c>
      <c r="BE20" s="175">
        <f t="shared" si="58"/>
        <v>12.717395833333336</v>
      </c>
      <c r="BF20" s="175"/>
      <c r="BG20" s="175">
        <f t="shared" si="53"/>
        <v>6.48</v>
      </c>
      <c r="BH20" s="169"/>
      <c r="BI20" s="172"/>
      <c r="BJ20" s="179">
        <f t="shared" si="57"/>
        <v>672.49104166666666</v>
      </c>
      <c r="BK20" s="232"/>
    </row>
    <row r="21" spans="1:63" ht="16.5" customHeight="1" x14ac:dyDescent="0.2">
      <c r="A21" s="228">
        <v>12</v>
      </c>
      <c r="B21" s="231" t="s">
        <v>14</v>
      </c>
      <c r="C21" s="161">
        <v>29010</v>
      </c>
      <c r="D21" s="162" t="s">
        <v>13</v>
      </c>
      <c r="E21" s="163">
        <v>41918</v>
      </c>
      <c r="F21" s="184"/>
      <c r="G21" s="164" t="s">
        <v>6</v>
      </c>
      <c r="H21" s="229" t="s">
        <v>12</v>
      </c>
      <c r="I21" s="229" t="s">
        <v>5</v>
      </c>
      <c r="J21" s="184" t="s">
        <v>11</v>
      </c>
      <c r="K21" s="184" t="s">
        <v>4</v>
      </c>
      <c r="L21" s="184" t="s">
        <v>4</v>
      </c>
      <c r="M21" s="184"/>
      <c r="N21" s="229" t="s">
        <v>10</v>
      </c>
      <c r="O21" s="229" t="s">
        <v>9</v>
      </c>
      <c r="P21" s="165">
        <v>4000</v>
      </c>
      <c r="Q21" s="165">
        <v>113</v>
      </c>
      <c r="R21" s="165">
        <v>0</v>
      </c>
      <c r="S21" s="165"/>
      <c r="T21" s="166">
        <f t="shared" si="41"/>
        <v>4113</v>
      </c>
      <c r="U21" s="167">
        <f>'HOJA RXH'!AH17</f>
        <v>15</v>
      </c>
      <c r="V21" s="168"/>
      <c r="W21" s="254">
        <f>'HOJA RXH'!Z17</f>
        <v>0</v>
      </c>
      <c r="X21" s="170">
        <f t="shared" si="42"/>
        <v>0</v>
      </c>
      <c r="Y21" s="257">
        <f>'HOJA RXH'!AD17</f>
        <v>0</v>
      </c>
      <c r="Z21" s="186">
        <f t="shared" si="54"/>
        <v>0</v>
      </c>
      <c r="AA21" s="171"/>
      <c r="AB21" s="171"/>
      <c r="AC21" s="172"/>
      <c r="AD21" s="172"/>
      <c r="AE21" s="172"/>
      <c r="AF21" s="172"/>
      <c r="AG21" s="172"/>
      <c r="AH21" s="172">
        <f>'HOJA RXH'!V17</f>
        <v>0</v>
      </c>
      <c r="AI21" s="172"/>
      <c r="AJ21" s="173">
        <f t="shared" si="43"/>
        <v>2056.5</v>
      </c>
      <c r="AK21" s="254">
        <f>'HOJA RXH'!J17</f>
        <v>0</v>
      </c>
      <c r="AL21" s="169">
        <f>T21/30*AK21</f>
        <v>0</v>
      </c>
      <c r="AM21" s="254">
        <f>'HOJA RXH'!F17</f>
        <v>0</v>
      </c>
      <c r="AN21" s="169">
        <f t="shared" si="55"/>
        <v>0</v>
      </c>
      <c r="AO21" s="169">
        <f>'HOJA RXH'!N17</f>
        <v>0</v>
      </c>
      <c r="AP21" s="169">
        <f>T21/30*AO21</f>
        <v>0</v>
      </c>
      <c r="AQ21" s="169">
        <v>0</v>
      </c>
      <c r="AR21" s="173">
        <f t="shared" si="46"/>
        <v>0</v>
      </c>
      <c r="AS21" s="191" t="s">
        <v>7</v>
      </c>
      <c r="AT21" s="193"/>
      <c r="AU21" s="192"/>
      <c r="AV21" s="174">
        <f>IF(AS21="ONP",VLOOKUP(AS21,TASAS!TAB_AFP,8,0)*AJ21,0)</f>
        <v>267.34500000000003</v>
      </c>
      <c r="AW21" s="174">
        <f t="shared" si="47"/>
        <v>0</v>
      </c>
      <c r="AX21" s="174">
        <f t="shared" si="48"/>
        <v>0</v>
      </c>
      <c r="AY21" s="174">
        <f t="shared" si="49"/>
        <v>0</v>
      </c>
      <c r="AZ21" s="175">
        <f t="shared" si="50"/>
        <v>0</v>
      </c>
      <c r="BA21" s="176">
        <f t="shared" si="51"/>
        <v>267.34500000000003</v>
      </c>
      <c r="BB21" s="177"/>
      <c r="BC21" s="178">
        <f t="shared" si="56"/>
        <v>1789.155</v>
      </c>
      <c r="BD21" s="175">
        <f t="shared" si="52"/>
        <v>185.09</v>
      </c>
      <c r="BE21" s="175">
        <f t="shared" si="58"/>
        <v>0</v>
      </c>
      <c r="BF21" s="175"/>
      <c r="BG21" s="175">
        <f t="shared" si="53"/>
        <v>21.6</v>
      </c>
      <c r="BH21" s="169"/>
      <c r="BI21" s="175"/>
      <c r="BJ21" s="179">
        <f t="shared" si="57"/>
        <v>1789.155</v>
      </c>
      <c r="BK21" s="232"/>
    </row>
    <row r="22" spans="1:63" ht="17.100000000000001" customHeight="1" x14ac:dyDescent="0.2">
      <c r="A22" s="228">
        <v>13</v>
      </c>
      <c r="B22" s="229" t="s">
        <v>188</v>
      </c>
      <c r="C22" s="161">
        <v>28961</v>
      </c>
      <c r="D22" s="162">
        <v>40986687</v>
      </c>
      <c r="E22" s="163">
        <v>44028</v>
      </c>
      <c r="F22" s="230"/>
      <c r="G22" s="233" t="s">
        <v>6</v>
      </c>
      <c r="H22" s="229" t="s">
        <v>227</v>
      </c>
      <c r="I22" s="229" t="s">
        <v>5</v>
      </c>
      <c r="J22" s="184" t="s">
        <v>4</v>
      </c>
      <c r="K22" s="184" t="s">
        <v>4</v>
      </c>
      <c r="L22" s="184" t="s">
        <v>4</v>
      </c>
      <c r="M22" s="184" t="s">
        <v>231</v>
      </c>
      <c r="N22" s="229" t="s">
        <v>232</v>
      </c>
      <c r="O22" s="229" t="s">
        <v>233</v>
      </c>
      <c r="P22" s="165">
        <f>3000+2000</f>
        <v>5000</v>
      </c>
      <c r="Q22" s="165">
        <v>113</v>
      </c>
      <c r="R22" s="165">
        <v>1000</v>
      </c>
      <c r="S22" s="165"/>
      <c r="T22" s="166">
        <f t="shared" si="41"/>
        <v>6113</v>
      </c>
      <c r="U22" s="167">
        <f>'HOJA RXH'!AH18</f>
        <v>15</v>
      </c>
      <c r="V22" s="168"/>
      <c r="W22" s="254">
        <f>'HOJA RXH'!Z18</f>
        <v>0</v>
      </c>
      <c r="X22" s="170">
        <f t="shared" si="42"/>
        <v>0</v>
      </c>
      <c r="Y22" s="257">
        <f>'HOJA RXH'!AD18</f>
        <v>0</v>
      </c>
      <c r="Z22" s="186">
        <f t="shared" si="54"/>
        <v>0</v>
      </c>
      <c r="AA22" s="171"/>
      <c r="AB22" s="171"/>
      <c r="AC22" s="172"/>
      <c r="AD22" s="172"/>
      <c r="AE22" s="172"/>
      <c r="AF22" s="172"/>
      <c r="AG22" s="172"/>
      <c r="AH22" s="172">
        <f>'HOJA RXH'!V18</f>
        <v>0</v>
      </c>
      <c r="AI22" s="172"/>
      <c r="AJ22" s="173">
        <f t="shared" si="43"/>
        <v>2556.5</v>
      </c>
      <c r="AK22" s="254">
        <f>'HOJA RXH'!J18</f>
        <v>0</v>
      </c>
      <c r="AL22" s="169">
        <f>T22/30*AK22</f>
        <v>0</v>
      </c>
      <c r="AM22" s="254">
        <f>'HOJA RXH'!F18</f>
        <v>0</v>
      </c>
      <c r="AN22" s="169">
        <f t="shared" si="55"/>
        <v>0</v>
      </c>
      <c r="AO22" s="169">
        <f>'HOJA RXH'!N18</f>
        <v>0</v>
      </c>
      <c r="AP22" s="169">
        <f>T22/30*AO22</f>
        <v>0</v>
      </c>
      <c r="AQ22" s="169">
        <v>0</v>
      </c>
      <c r="AR22" s="173">
        <f t="shared" si="46"/>
        <v>500.00000000000006</v>
      </c>
      <c r="AS22" s="191" t="s">
        <v>112</v>
      </c>
      <c r="AT22" s="192">
        <v>0</v>
      </c>
      <c r="AU22" s="192">
        <v>1.37E-2</v>
      </c>
      <c r="AV22" s="174">
        <f>IF(AS22="ONP",VLOOKUP(AS22,TASAS!TAB_AFP,8,0)*AJ22,0)</f>
        <v>0</v>
      </c>
      <c r="AW22" s="174">
        <f t="shared" si="47"/>
        <v>255.65</v>
      </c>
      <c r="AX22" s="174">
        <f t="shared" si="48"/>
        <v>0</v>
      </c>
      <c r="AY22" s="174">
        <f t="shared" si="49"/>
        <v>35.024050000000003</v>
      </c>
      <c r="AZ22" s="175">
        <f t="shared" si="50"/>
        <v>290.67405000000002</v>
      </c>
      <c r="BA22" s="176">
        <f t="shared" si="51"/>
        <v>290.67405000000002</v>
      </c>
      <c r="BB22" s="177"/>
      <c r="BC22" s="178">
        <f t="shared" si="56"/>
        <v>2765.8259499999999</v>
      </c>
      <c r="BD22" s="175">
        <f t="shared" si="52"/>
        <v>230.09</v>
      </c>
      <c r="BE22" s="175">
        <f t="shared" si="58"/>
        <v>0</v>
      </c>
      <c r="BF22" s="175"/>
      <c r="BG22" s="175">
        <f t="shared" si="53"/>
        <v>27</v>
      </c>
      <c r="BH22" s="169"/>
      <c r="BI22" s="175"/>
      <c r="BJ22" s="179">
        <f t="shared" si="57"/>
        <v>2765.8259499999999</v>
      </c>
      <c r="BK22" s="235"/>
    </row>
    <row r="23" spans="1:63" ht="17.100000000000001" customHeight="1" x14ac:dyDescent="0.2">
      <c r="A23" s="228">
        <v>14</v>
      </c>
      <c r="B23" s="229" t="s">
        <v>134</v>
      </c>
      <c r="C23" s="161">
        <v>33135</v>
      </c>
      <c r="D23" s="162">
        <v>46586240</v>
      </c>
      <c r="E23" s="163">
        <v>45673</v>
      </c>
      <c r="F23" s="230"/>
      <c r="G23" s="164" t="s">
        <v>8</v>
      </c>
      <c r="H23" s="229" t="s">
        <v>227</v>
      </c>
      <c r="I23" s="231" t="s">
        <v>18</v>
      </c>
      <c r="J23" s="184" t="s">
        <v>4</v>
      </c>
      <c r="K23" s="184" t="s">
        <v>11</v>
      </c>
      <c r="L23" s="184" t="s">
        <v>4</v>
      </c>
      <c r="M23" s="184" t="s">
        <v>234</v>
      </c>
      <c r="N23" s="229" t="s">
        <v>235</v>
      </c>
      <c r="O23" s="229" t="s">
        <v>236</v>
      </c>
      <c r="P23" s="165">
        <v>3000</v>
      </c>
      <c r="Q23" s="165"/>
      <c r="R23" s="165"/>
      <c r="S23" s="165"/>
      <c r="T23" s="166">
        <f t="shared" si="41"/>
        <v>3000</v>
      </c>
      <c r="U23" s="167">
        <f>'HOJA RXH'!AH19</f>
        <v>15</v>
      </c>
      <c r="V23" s="168"/>
      <c r="W23" s="254">
        <f>'HOJA RXH'!Z19</f>
        <v>0</v>
      </c>
      <c r="X23" s="170">
        <f t="shared" si="42"/>
        <v>0</v>
      </c>
      <c r="Y23" s="257">
        <f>'HOJA RXH'!AD19</f>
        <v>0</v>
      </c>
      <c r="Z23" s="186">
        <f t="shared" si="54"/>
        <v>0</v>
      </c>
      <c r="AA23" s="171"/>
      <c r="AB23" s="171"/>
      <c r="AC23" s="172"/>
      <c r="AD23" s="172"/>
      <c r="AE23" s="172"/>
      <c r="AF23" s="172"/>
      <c r="AG23" s="172">
        <v>300</v>
      </c>
      <c r="AH23" s="172">
        <f>'HOJA RXH'!V19</f>
        <v>0</v>
      </c>
      <c r="AI23" s="172"/>
      <c r="AJ23" s="173">
        <f t="shared" si="43"/>
        <v>1800</v>
      </c>
      <c r="AK23" s="254">
        <f>'HOJA RXH'!J19</f>
        <v>2</v>
      </c>
      <c r="AL23" s="169">
        <f>T23/30*AK23</f>
        <v>200</v>
      </c>
      <c r="AM23" s="254">
        <f>'HOJA RXH'!F19</f>
        <v>3</v>
      </c>
      <c r="AN23" s="169">
        <f t="shared" si="55"/>
        <v>30</v>
      </c>
      <c r="AO23" s="169">
        <f>'HOJA RXH'!N19</f>
        <v>0</v>
      </c>
      <c r="AP23" s="169">
        <f>T23/30*AO23</f>
        <v>0</v>
      </c>
      <c r="AQ23" s="169">
        <v>0</v>
      </c>
      <c r="AR23" s="173">
        <f t="shared" si="46"/>
        <v>230</v>
      </c>
      <c r="AS23" s="191" t="s">
        <v>112</v>
      </c>
      <c r="AT23" s="192">
        <v>0</v>
      </c>
      <c r="AU23" s="192">
        <v>1.37E-2</v>
      </c>
      <c r="AV23" s="174">
        <f>IF(AS23="ONP",VLOOKUP(AS23,TASAS!TAB_AFP,8,0)*AJ23,0)</f>
        <v>0</v>
      </c>
      <c r="AW23" s="174">
        <f t="shared" si="47"/>
        <v>180</v>
      </c>
      <c r="AX23" s="174">
        <f t="shared" si="48"/>
        <v>0</v>
      </c>
      <c r="AY23" s="174">
        <f t="shared" si="49"/>
        <v>24.66</v>
      </c>
      <c r="AZ23" s="175">
        <f t="shared" si="50"/>
        <v>204.66</v>
      </c>
      <c r="BA23" s="176">
        <f t="shared" si="51"/>
        <v>204.66</v>
      </c>
      <c r="BB23" s="177"/>
      <c r="BC23" s="178">
        <f t="shared" si="56"/>
        <v>1825.34</v>
      </c>
      <c r="BD23" s="175">
        <f t="shared" si="52"/>
        <v>162</v>
      </c>
      <c r="BE23" s="175">
        <f t="shared" si="58"/>
        <v>38.520000000000003</v>
      </c>
      <c r="BF23" s="175"/>
      <c r="BG23" s="175">
        <f t="shared" si="53"/>
        <v>16.2</v>
      </c>
      <c r="BH23" s="169"/>
      <c r="BI23" s="175"/>
      <c r="BJ23" s="179">
        <f t="shared" si="57"/>
        <v>1825.34</v>
      </c>
    </row>
    <row r="24" spans="1:63" s="189" customFormat="1" ht="17.100000000000001" customHeight="1" x14ac:dyDescent="0.2">
      <c r="A24" s="228">
        <v>15</v>
      </c>
      <c r="B24" s="229" t="s">
        <v>123</v>
      </c>
      <c r="C24" s="161" t="s">
        <v>237</v>
      </c>
      <c r="D24" s="162" t="s">
        <v>238</v>
      </c>
      <c r="E24" s="163">
        <v>44835</v>
      </c>
      <c r="F24" s="230"/>
      <c r="G24" s="164" t="s">
        <v>8</v>
      </c>
      <c r="H24" s="229" t="s">
        <v>227</v>
      </c>
      <c r="I24" s="231" t="s">
        <v>18</v>
      </c>
      <c r="J24" s="184" t="s">
        <v>4</v>
      </c>
      <c r="K24" s="184" t="s">
        <v>11</v>
      </c>
      <c r="L24" s="184" t="s">
        <v>4</v>
      </c>
      <c r="M24" s="184" t="s">
        <v>239</v>
      </c>
      <c r="N24" s="229" t="s">
        <v>22</v>
      </c>
      <c r="O24" s="229" t="s">
        <v>21</v>
      </c>
      <c r="P24" s="165">
        <v>1600</v>
      </c>
      <c r="Q24" s="165"/>
      <c r="R24" s="165">
        <f>135+65+300</f>
        <v>500</v>
      </c>
      <c r="S24" s="165"/>
      <c r="T24" s="166">
        <f t="shared" si="41"/>
        <v>2100</v>
      </c>
      <c r="U24" s="167">
        <f>'HOJA RXH'!AH20</f>
        <v>13</v>
      </c>
      <c r="V24" s="168"/>
      <c r="W24" s="254">
        <f>'HOJA RXH'!Z20</f>
        <v>2</v>
      </c>
      <c r="X24" s="170">
        <f t="shared" si="42"/>
        <v>106.66666666666667</v>
      </c>
      <c r="Y24" s="257">
        <f>'HOJA RXH'!AD20</f>
        <v>59.999999999999659</v>
      </c>
      <c r="Z24" s="186">
        <f t="shared" si="54"/>
        <v>8.7499999999999503</v>
      </c>
      <c r="AA24" s="171"/>
      <c r="AB24" s="171"/>
      <c r="AC24" s="172"/>
      <c r="AD24" s="172"/>
      <c r="AE24" s="172"/>
      <c r="AF24" s="172"/>
      <c r="AG24" s="172"/>
      <c r="AH24" s="172">
        <f>'HOJA RXH'!V20</f>
        <v>0</v>
      </c>
      <c r="AI24" s="172"/>
      <c r="AJ24" s="173">
        <f t="shared" si="43"/>
        <v>684.58333333333337</v>
      </c>
      <c r="AK24" s="254">
        <f>'HOJA RXH'!J20</f>
        <v>1</v>
      </c>
      <c r="AL24" s="169">
        <f>T24/30*AK24</f>
        <v>70</v>
      </c>
      <c r="AM24" s="254">
        <f>'HOJA RXH'!F20</f>
        <v>2</v>
      </c>
      <c r="AN24" s="169">
        <f t="shared" si="55"/>
        <v>14</v>
      </c>
      <c r="AO24" s="169">
        <f>'HOJA RXH'!N20</f>
        <v>0</v>
      </c>
      <c r="AP24" s="169">
        <f>T24/30*AO24</f>
        <v>0</v>
      </c>
      <c r="AQ24" s="169">
        <v>0</v>
      </c>
      <c r="AR24" s="173">
        <f t="shared" si="46"/>
        <v>300.66666666666669</v>
      </c>
      <c r="AS24" s="191" t="s">
        <v>1</v>
      </c>
      <c r="AT24" s="192">
        <v>0</v>
      </c>
      <c r="AU24" s="192">
        <v>1.37E-2</v>
      </c>
      <c r="AV24" s="174">
        <f>IF(AS24="ONP",VLOOKUP(AS24,TASAS!TAB_AFP,8,0)*AJ24,0)</f>
        <v>0</v>
      </c>
      <c r="AW24" s="174">
        <f t="shared" si="47"/>
        <v>68.458333333333343</v>
      </c>
      <c r="AX24" s="174">
        <f t="shared" si="48"/>
        <v>0</v>
      </c>
      <c r="AY24" s="174">
        <f t="shared" si="49"/>
        <v>9.3787916666666682</v>
      </c>
      <c r="AZ24" s="175">
        <f t="shared" si="50"/>
        <v>77.837125000000015</v>
      </c>
      <c r="BA24" s="176">
        <f t="shared" si="51"/>
        <v>77.837125000000015</v>
      </c>
      <c r="BB24" s="177"/>
      <c r="BC24" s="178">
        <f t="shared" si="56"/>
        <v>907.41287499999999</v>
      </c>
      <c r="BD24" s="175">
        <f t="shared" si="52"/>
        <v>61.61</v>
      </c>
      <c r="BE24" s="175">
        <f t="shared" si="58"/>
        <v>14.650083333333336</v>
      </c>
      <c r="BF24" s="175"/>
      <c r="BG24" s="175">
        <f t="shared" si="53"/>
        <v>8.64</v>
      </c>
      <c r="BH24" s="169"/>
      <c r="BI24" s="175"/>
      <c r="BJ24" s="179">
        <f t="shared" si="57"/>
        <v>907.41287499999999</v>
      </c>
      <c r="BK24" s="232"/>
    </row>
    <row r="25" spans="1:63" s="189" customFormat="1" ht="17.100000000000001" customHeight="1" x14ac:dyDescent="0.25">
      <c r="A25" s="228"/>
      <c r="B25" s="229"/>
      <c r="C25" s="161"/>
      <c r="D25" s="162"/>
      <c r="E25" s="163"/>
      <c r="F25" s="230"/>
      <c r="G25" s="164"/>
      <c r="H25" s="229"/>
      <c r="I25" s="231"/>
      <c r="J25" s="184"/>
      <c r="K25" s="184"/>
      <c r="L25" s="184"/>
      <c r="M25" s="184"/>
      <c r="N25" s="229"/>
      <c r="O25" s="229"/>
      <c r="P25" s="182">
        <f>SUM(P10:P24)</f>
        <v>41690</v>
      </c>
      <c r="Q25" s="182">
        <f t="shared" ref="Q25:BJ25" si="59">SUM(Q10:Q24)</f>
        <v>904</v>
      </c>
      <c r="R25" s="182">
        <f t="shared" si="59"/>
        <v>8250</v>
      </c>
      <c r="S25" s="182">
        <f t="shared" si="59"/>
        <v>0</v>
      </c>
      <c r="T25" s="182">
        <f t="shared" si="59"/>
        <v>50844</v>
      </c>
      <c r="U25" s="182">
        <f t="shared" si="59"/>
        <v>215</v>
      </c>
      <c r="V25" s="182">
        <f t="shared" si="59"/>
        <v>0</v>
      </c>
      <c r="W25" s="256">
        <f t="shared" si="59"/>
        <v>10</v>
      </c>
      <c r="X25" s="182">
        <f t="shared" si="59"/>
        <v>1194.3333333333335</v>
      </c>
      <c r="Y25" s="258">
        <f t="shared" si="59"/>
        <v>1870.0000000000005</v>
      </c>
      <c r="Z25" s="182">
        <f t="shared" si="59"/>
        <v>250.14409722222226</v>
      </c>
      <c r="AA25" s="182">
        <f t="shared" si="59"/>
        <v>0</v>
      </c>
      <c r="AB25" s="182">
        <f t="shared" si="59"/>
        <v>0</v>
      </c>
      <c r="AC25" s="182">
        <f t="shared" si="59"/>
        <v>0</v>
      </c>
      <c r="AD25" s="182">
        <f t="shared" si="59"/>
        <v>0</v>
      </c>
      <c r="AE25" s="182">
        <f t="shared" si="59"/>
        <v>0</v>
      </c>
      <c r="AF25" s="182">
        <f t="shared" si="59"/>
        <v>0</v>
      </c>
      <c r="AG25" s="182">
        <f t="shared" si="59"/>
        <v>300</v>
      </c>
      <c r="AH25" s="182">
        <f t="shared" si="59"/>
        <v>0</v>
      </c>
      <c r="AI25" s="182">
        <f t="shared" si="59"/>
        <v>0</v>
      </c>
      <c r="AJ25" s="182">
        <f t="shared" si="59"/>
        <v>20152.522569444445</v>
      </c>
      <c r="AK25" s="255">
        <f t="shared" si="59"/>
        <v>9</v>
      </c>
      <c r="AL25" s="182">
        <f t="shared" si="59"/>
        <v>967.93333333333328</v>
      </c>
      <c r="AM25" s="255">
        <f t="shared" si="59"/>
        <v>25</v>
      </c>
      <c r="AN25" s="182">
        <f t="shared" si="59"/>
        <v>236.60666666666665</v>
      </c>
      <c r="AO25" s="182">
        <f t="shared" si="59"/>
        <v>0</v>
      </c>
      <c r="AP25" s="182">
        <f t="shared" si="59"/>
        <v>0</v>
      </c>
      <c r="AQ25" s="182">
        <f t="shared" si="59"/>
        <v>0</v>
      </c>
      <c r="AR25" s="182">
        <f t="shared" si="59"/>
        <v>5276.2066666666678</v>
      </c>
      <c r="AS25" s="182"/>
      <c r="AT25" s="182">
        <f t="shared" si="59"/>
        <v>6.5299999999999997E-2</v>
      </c>
      <c r="AU25" s="182">
        <f t="shared" si="59"/>
        <v>0.16439999999999999</v>
      </c>
      <c r="AV25" s="182">
        <f t="shared" si="59"/>
        <v>347.69451527777778</v>
      </c>
      <c r="AW25" s="182">
        <f t="shared" si="59"/>
        <v>1447.7949375000001</v>
      </c>
      <c r="AX25" s="182">
        <f t="shared" si="59"/>
        <v>65.704531249999988</v>
      </c>
      <c r="AY25" s="182">
        <f t="shared" si="59"/>
        <v>198.3479064375</v>
      </c>
      <c r="AZ25" s="182">
        <f t="shared" si="59"/>
        <v>1711.8473751875001</v>
      </c>
      <c r="BA25" s="182">
        <f t="shared" si="59"/>
        <v>2059.5418904652779</v>
      </c>
      <c r="BB25" s="182">
        <f t="shared" si="59"/>
        <v>0</v>
      </c>
      <c r="BC25" s="182">
        <f>SUM(BC10:BC24)</f>
        <v>23369.187345645827</v>
      </c>
      <c r="BD25" s="182">
        <f t="shared" si="59"/>
        <v>1813.7399999999998</v>
      </c>
      <c r="BE25" s="182">
        <f t="shared" si="59"/>
        <v>303.2300030277778</v>
      </c>
      <c r="BF25" s="182">
        <f t="shared" si="59"/>
        <v>0</v>
      </c>
      <c r="BG25" s="182">
        <f t="shared" si="59"/>
        <v>225.12599999999998</v>
      </c>
      <c r="BH25" s="182">
        <f t="shared" si="59"/>
        <v>150</v>
      </c>
      <c r="BI25" s="182">
        <f t="shared" si="59"/>
        <v>0</v>
      </c>
      <c r="BJ25" s="182">
        <f t="shared" si="59"/>
        <v>23219.187345645827</v>
      </c>
      <c r="BK25" s="232"/>
    </row>
    <row r="26" spans="1:63" ht="17.100000000000001" customHeight="1" x14ac:dyDescent="0.2">
      <c r="K26" s="155"/>
      <c r="M26" s="155"/>
      <c r="N26" s="155"/>
      <c r="O26" s="155"/>
      <c r="AS26" s="236"/>
      <c r="AT26" s="155"/>
      <c r="AU26" s="155"/>
      <c r="AZ26" s="155"/>
      <c r="BA26" s="155"/>
      <c r="BG26" s="155"/>
    </row>
    <row r="27" spans="1:63" ht="17.100000000000001" customHeight="1" x14ac:dyDescent="0.2">
      <c r="K27" s="155"/>
      <c r="M27" s="155"/>
      <c r="N27" s="155"/>
      <c r="O27" s="155"/>
      <c r="AS27" s="236"/>
      <c r="AT27" s="155"/>
      <c r="AU27" s="155"/>
      <c r="AZ27" s="155"/>
      <c r="BA27" s="155"/>
      <c r="BG27" s="155"/>
    </row>
    <row r="28" spans="1:63" ht="17.100000000000001" customHeight="1" x14ac:dyDescent="0.2">
      <c r="K28" s="155"/>
      <c r="M28" s="155"/>
      <c r="N28" s="155"/>
      <c r="O28" s="155"/>
      <c r="AS28" s="236"/>
      <c r="AT28" s="155"/>
      <c r="AU28" s="155"/>
      <c r="AZ28" s="155"/>
      <c r="BA28" s="155"/>
      <c r="BG28" s="155"/>
    </row>
    <row r="29" spans="1:63" ht="17.100000000000001" customHeight="1" x14ac:dyDescent="0.2">
      <c r="K29" s="155"/>
      <c r="M29" s="155"/>
      <c r="N29" s="155"/>
      <c r="O29" s="155"/>
      <c r="AS29" s="236"/>
      <c r="AT29" s="155"/>
      <c r="AU29" s="155"/>
      <c r="AZ29" s="155"/>
      <c r="BA29" s="155"/>
      <c r="BG29" s="155"/>
    </row>
    <row r="30" spans="1:63" ht="17.100000000000001" customHeight="1" x14ac:dyDescent="0.2">
      <c r="K30" s="155"/>
      <c r="M30" s="155"/>
      <c r="N30" s="155"/>
      <c r="O30" s="155"/>
      <c r="AS30" s="236"/>
      <c r="AT30" s="155"/>
      <c r="AU30" s="155"/>
      <c r="AZ30" s="155"/>
      <c r="BA30" s="155"/>
      <c r="BG30" s="155"/>
    </row>
    <row r="31" spans="1:63" ht="17.100000000000001" customHeight="1" x14ac:dyDescent="0.2">
      <c r="K31" s="155"/>
      <c r="M31" s="155"/>
      <c r="N31" s="155"/>
      <c r="O31" s="155"/>
      <c r="AS31" s="236"/>
      <c r="AT31" s="155"/>
      <c r="AU31" s="155"/>
      <c r="AZ31" s="155"/>
      <c r="BA31" s="155"/>
      <c r="BG31" s="155"/>
    </row>
    <row r="32" spans="1:63" ht="17.100000000000001" customHeight="1" x14ac:dyDescent="0.2">
      <c r="K32" s="155"/>
      <c r="M32" s="155"/>
      <c r="N32" s="155"/>
      <c r="O32" s="155"/>
      <c r="AS32" s="236"/>
      <c r="AT32" s="155"/>
      <c r="AU32" s="155"/>
      <c r="AZ32" s="155"/>
      <c r="BA32" s="155"/>
      <c r="BG32" s="155"/>
    </row>
    <row r="33" spans="45:45" s="155" customFormat="1" ht="17.100000000000001" customHeight="1" x14ac:dyDescent="0.2">
      <c r="AS33" s="236"/>
    </row>
    <row r="34" spans="45:45" s="155" customFormat="1" ht="17.100000000000001" customHeight="1" x14ac:dyDescent="0.2">
      <c r="AS34" s="236"/>
    </row>
    <row r="35" spans="45:45" s="155" customFormat="1" ht="17.100000000000001" customHeight="1" x14ac:dyDescent="0.2">
      <c r="AS35" s="236"/>
    </row>
    <row r="36" spans="45:45" s="155" customFormat="1" ht="17.100000000000001" customHeight="1" x14ac:dyDescent="0.2">
      <c r="AS36" s="236"/>
    </row>
    <row r="37" spans="45:45" s="155" customFormat="1" ht="17.100000000000001" customHeight="1" x14ac:dyDescent="0.2">
      <c r="AS37" s="236"/>
    </row>
    <row r="38" spans="45:45" s="155" customFormat="1" ht="17.100000000000001" customHeight="1" x14ac:dyDescent="0.2">
      <c r="AS38" s="236"/>
    </row>
    <row r="39" spans="45:45" s="155" customFormat="1" ht="17.100000000000001" customHeight="1" x14ac:dyDescent="0.2">
      <c r="AS39" s="236"/>
    </row>
    <row r="40" spans="45:45" s="155" customFormat="1" ht="17.100000000000001" customHeight="1" x14ac:dyDescent="0.2">
      <c r="AS40" s="236"/>
    </row>
    <row r="41" spans="45:45" s="155" customFormat="1" ht="17.100000000000001" customHeight="1" x14ac:dyDescent="0.2">
      <c r="AS41" s="236"/>
    </row>
    <row r="42" spans="45:45" s="155" customFormat="1" ht="17.100000000000001" customHeight="1" x14ac:dyDescent="0.2">
      <c r="AS42" s="236"/>
    </row>
    <row r="43" spans="45:45" s="155" customFormat="1" ht="17.100000000000001" customHeight="1" x14ac:dyDescent="0.2">
      <c r="AS43" s="236"/>
    </row>
    <row r="44" spans="45:45" s="155" customFormat="1" ht="17.100000000000001" customHeight="1" x14ac:dyDescent="0.2">
      <c r="AS44" s="236"/>
    </row>
    <row r="45" spans="45:45" s="155" customFormat="1" ht="17.100000000000001" customHeight="1" x14ac:dyDescent="0.2">
      <c r="AS45" s="236"/>
    </row>
    <row r="46" spans="45:45" s="155" customFormat="1" ht="17.100000000000001" customHeight="1" x14ac:dyDescent="0.2">
      <c r="AS46" s="236"/>
    </row>
    <row r="47" spans="45:45" s="155" customFormat="1" ht="17.100000000000001" customHeight="1" x14ac:dyDescent="0.2">
      <c r="AS47" s="236"/>
    </row>
    <row r="48" spans="45:45" s="155" customFormat="1" ht="17.100000000000001" customHeight="1" x14ac:dyDescent="0.2">
      <c r="AS48" s="236"/>
    </row>
    <row r="49" spans="45:45" s="155" customFormat="1" ht="17.100000000000001" customHeight="1" x14ac:dyDescent="0.2">
      <c r="AS49" s="236"/>
    </row>
    <row r="50" spans="45:45" s="155" customFormat="1" ht="17.100000000000001" customHeight="1" x14ac:dyDescent="0.2">
      <c r="AS50" s="236"/>
    </row>
    <row r="51" spans="45:45" s="155" customFormat="1" ht="17.100000000000001" customHeight="1" x14ac:dyDescent="0.2">
      <c r="AS51" s="236"/>
    </row>
    <row r="52" spans="45:45" s="155" customFormat="1" ht="17.100000000000001" customHeight="1" x14ac:dyDescent="0.2">
      <c r="AS52" s="236"/>
    </row>
    <row r="53" spans="45:45" s="155" customFormat="1" ht="17.100000000000001" customHeight="1" x14ac:dyDescent="0.2">
      <c r="AS53" s="236"/>
    </row>
    <row r="54" spans="45:45" s="155" customFormat="1" ht="17.100000000000001" customHeight="1" x14ac:dyDescent="0.2">
      <c r="AS54" s="236"/>
    </row>
    <row r="55" spans="45:45" s="155" customFormat="1" ht="17.100000000000001" customHeight="1" x14ac:dyDescent="0.2">
      <c r="AS55" s="236"/>
    </row>
    <row r="56" spans="45:45" s="155" customFormat="1" ht="17.100000000000001" customHeight="1" x14ac:dyDescent="0.2">
      <c r="AS56" s="236"/>
    </row>
    <row r="57" spans="45:45" s="155" customFormat="1" ht="17.100000000000001" customHeight="1" x14ac:dyDescent="0.2">
      <c r="AS57" s="236"/>
    </row>
    <row r="58" spans="45:45" s="155" customFormat="1" ht="17.100000000000001" customHeight="1" x14ac:dyDescent="0.2">
      <c r="AS58" s="236"/>
    </row>
    <row r="59" spans="45:45" s="155" customFormat="1" ht="17.100000000000001" customHeight="1" x14ac:dyDescent="0.2">
      <c r="AS59" s="236"/>
    </row>
    <row r="60" spans="45:45" s="155" customFormat="1" ht="17.100000000000001" customHeight="1" x14ac:dyDescent="0.2">
      <c r="AS60" s="236"/>
    </row>
    <row r="61" spans="45:45" s="155" customFormat="1" ht="17.100000000000001" customHeight="1" x14ac:dyDescent="0.2">
      <c r="AS61" s="236"/>
    </row>
    <row r="62" spans="45:45" s="155" customFormat="1" ht="17.100000000000001" customHeight="1" x14ac:dyDescent="0.2">
      <c r="AS62" s="236"/>
    </row>
    <row r="63" spans="45:45" s="155" customFormat="1" ht="17.100000000000001" customHeight="1" x14ac:dyDescent="0.2">
      <c r="AS63" s="236"/>
    </row>
    <row r="64" spans="45:45" s="155" customFormat="1" ht="17.100000000000001" customHeight="1" x14ac:dyDescent="0.2">
      <c r="AS64" s="236"/>
    </row>
    <row r="65" spans="45:45" s="155" customFormat="1" ht="17.100000000000001" customHeight="1" x14ac:dyDescent="0.2">
      <c r="AS65" s="236"/>
    </row>
    <row r="66" spans="45:45" s="155" customFormat="1" ht="17.100000000000001" customHeight="1" x14ac:dyDescent="0.2">
      <c r="AS66" s="236"/>
    </row>
    <row r="67" spans="45:45" s="155" customFormat="1" ht="17.100000000000001" customHeight="1" x14ac:dyDescent="0.2">
      <c r="AS67" s="236"/>
    </row>
    <row r="68" spans="45:45" s="155" customFormat="1" ht="17.100000000000001" customHeight="1" x14ac:dyDescent="0.2">
      <c r="AS68" s="236"/>
    </row>
    <row r="69" spans="45:45" s="155" customFormat="1" ht="17.100000000000001" customHeight="1" x14ac:dyDescent="0.2">
      <c r="AS69" s="236"/>
    </row>
    <row r="70" spans="45:45" s="155" customFormat="1" ht="17.100000000000001" customHeight="1" x14ac:dyDescent="0.2">
      <c r="AS70" s="236"/>
    </row>
    <row r="71" spans="45:45" s="155" customFormat="1" ht="17.100000000000001" customHeight="1" x14ac:dyDescent="0.2">
      <c r="AS71" s="236"/>
    </row>
    <row r="72" spans="45:45" s="155" customFormat="1" ht="17.100000000000001" customHeight="1" x14ac:dyDescent="0.2">
      <c r="AS72" s="236"/>
    </row>
    <row r="73" spans="45:45" s="155" customFormat="1" ht="17.100000000000001" customHeight="1" x14ac:dyDescent="0.2">
      <c r="AS73" s="236"/>
    </row>
    <row r="74" spans="45:45" s="155" customFormat="1" ht="17.100000000000001" customHeight="1" x14ac:dyDescent="0.2">
      <c r="AS74" s="236"/>
    </row>
    <row r="75" spans="45:45" s="155" customFormat="1" ht="17.100000000000001" customHeight="1" x14ac:dyDescent="0.2">
      <c r="AS75" s="236"/>
    </row>
    <row r="76" spans="45:45" s="155" customFormat="1" ht="17.100000000000001" customHeight="1" x14ac:dyDescent="0.2">
      <c r="AS76" s="236"/>
    </row>
    <row r="77" spans="45:45" s="155" customFormat="1" ht="17.100000000000001" customHeight="1" x14ac:dyDescent="0.2">
      <c r="AS77" s="236"/>
    </row>
    <row r="78" spans="45:45" s="155" customFormat="1" ht="17.100000000000001" customHeight="1" x14ac:dyDescent="0.2">
      <c r="AS78" s="236"/>
    </row>
    <row r="79" spans="45:45" s="155" customFormat="1" ht="17.100000000000001" customHeight="1" x14ac:dyDescent="0.2">
      <c r="AS79" s="236"/>
    </row>
    <row r="80" spans="45:45" s="155" customFormat="1" ht="17.100000000000001" customHeight="1" x14ac:dyDescent="0.2">
      <c r="AS80" s="236"/>
    </row>
    <row r="81" spans="45:45" s="155" customFormat="1" ht="17.100000000000001" customHeight="1" x14ac:dyDescent="0.2">
      <c r="AS81" s="236"/>
    </row>
    <row r="82" spans="45:45" s="155" customFormat="1" ht="17.100000000000001" customHeight="1" x14ac:dyDescent="0.2">
      <c r="AS82" s="236"/>
    </row>
    <row r="83" spans="45:45" s="155" customFormat="1" ht="17.100000000000001" customHeight="1" x14ac:dyDescent="0.2">
      <c r="AS83" s="236"/>
    </row>
    <row r="84" spans="45:45" s="155" customFormat="1" ht="17.100000000000001" customHeight="1" x14ac:dyDescent="0.2">
      <c r="AS84" s="236"/>
    </row>
    <row r="85" spans="45:45" s="155" customFormat="1" ht="17.100000000000001" customHeight="1" x14ac:dyDescent="0.2">
      <c r="AS85" s="236"/>
    </row>
    <row r="86" spans="45:45" s="155" customFormat="1" ht="17.100000000000001" customHeight="1" x14ac:dyDescent="0.2">
      <c r="AS86" s="236"/>
    </row>
    <row r="87" spans="45:45" s="155" customFormat="1" ht="17.100000000000001" customHeight="1" x14ac:dyDescent="0.2">
      <c r="AS87" s="236"/>
    </row>
    <row r="88" spans="45:45" s="155" customFormat="1" ht="17.100000000000001" customHeight="1" x14ac:dyDescent="0.2">
      <c r="AS88" s="236"/>
    </row>
    <row r="89" spans="45:45" s="155" customFormat="1" ht="17.100000000000001" customHeight="1" x14ac:dyDescent="0.2">
      <c r="AS89" s="236"/>
    </row>
    <row r="90" spans="45:45" s="155" customFormat="1" ht="17.100000000000001" customHeight="1" x14ac:dyDescent="0.2">
      <c r="AS90" s="236"/>
    </row>
    <row r="91" spans="45:45" s="155" customFormat="1" ht="17.100000000000001" customHeight="1" x14ac:dyDescent="0.2">
      <c r="AS91" s="236"/>
    </row>
    <row r="92" spans="45:45" s="155" customFormat="1" ht="17.100000000000001" customHeight="1" x14ac:dyDescent="0.2">
      <c r="AS92" s="236"/>
    </row>
    <row r="93" spans="45:45" s="155" customFormat="1" ht="17.100000000000001" customHeight="1" x14ac:dyDescent="0.2">
      <c r="AS93" s="236"/>
    </row>
    <row r="94" spans="45:45" s="155" customFormat="1" ht="17.100000000000001" customHeight="1" x14ac:dyDescent="0.2">
      <c r="AS94" s="236"/>
    </row>
    <row r="95" spans="45:45" s="155" customFormat="1" ht="17.100000000000001" customHeight="1" x14ac:dyDescent="0.2">
      <c r="AS95" s="236"/>
    </row>
    <row r="96" spans="45:45" s="155" customFormat="1" ht="17.100000000000001" customHeight="1" x14ac:dyDescent="0.2">
      <c r="AS96" s="236"/>
    </row>
    <row r="97" spans="45:45" s="155" customFormat="1" ht="17.100000000000001" customHeight="1" x14ac:dyDescent="0.2">
      <c r="AS97" s="236"/>
    </row>
    <row r="98" spans="45:45" s="155" customFormat="1" ht="17.100000000000001" customHeight="1" x14ac:dyDescent="0.2">
      <c r="AS98" s="236"/>
    </row>
    <row r="99" spans="45:45" s="155" customFormat="1" ht="17.100000000000001" customHeight="1" x14ac:dyDescent="0.2">
      <c r="AS99" s="236"/>
    </row>
    <row r="100" spans="45:45" s="155" customFormat="1" ht="17.100000000000001" customHeight="1" x14ac:dyDescent="0.2">
      <c r="AS100" s="236"/>
    </row>
    <row r="101" spans="45:45" s="155" customFormat="1" ht="17.100000000000001" customHeight="1" x14ac:dyDescent="0.2">
      <c r="AS101" s="236"/>
    </row>
    <row r="102" spans="45:45" s="155" customFormat="1" ht="17.100000000000001" customHeight="1" x14ac:dyDescent="0.2">
      <c r="AS102" s="236"/>
    </row>
    <row r="103" spans="45:45" s="155" customFormat="1" ht="17.100000000000001" customHeight="1" x14ac:dyDescent="0.2">
      <c r="AS103" s="236"/>
    </row>
    <row r="104" spans="45:45" s="155" customFormat="1" ht="17.100000000000001" customHeight="1" x14ac:dyDescent="0.2">
      <c r="AS104" s="236"/>
    </row>
    <row r="105" spans="45:45" s="155" customFormat="1" ht="17.100000000000001" customHeight="1" x14ac:dyDescent="0.2">
      <c r="AS105" s="236"/>
    </row>
    <row r="106" spans="45:45" s="155" customFormat="1" ht="17.100000000000001" customHeight="1" x14ac:dyDescent="0.2">
      <c r="AS106" s="236"/>
    </row>
    <row r="107" spans="45:45" s="155" customFormat="1" ht="17.100000000000001" customHeight="1" x14ac:dyDescent="0.2">
      <c r="AS107" s="236"/>
    </row>
    <row r="108" spans="45:45" s="155" customFormat="1" ht="17.100000000000001" customHeight="1" x14ac:dyDescent="0.2">
      <c r="AS108" s="236"/>
    </row>
    <row r="109" spans="45:45" s="155" customFormat="1" ht="17.100000000000001" customHeight="1" x14ac:dyDescent="0.2">
      <c r="AS109" s="236"/>
    </row>
    <row r="110" spans="45:45" s="155" customFormat="1" ht="17.100000000000001" customHeight="1" x14ac:dyDescent="0.2">
      <c r="AS110" s="236"/>
    </row>
    <row r="111" spans="45:45" s="155" customFormat="1" ht="17.100000000000001" customHeight="1" x14ac:dyDescent="0.2">
      <c r="AS111" s="236"/>
    </row>
    <row r="112" spans="45:45" s="155" customFormat="1" ht="17.100000000000001" customHeight="1" x14ac:dyDescent="0.2">
      <c r="AS112" s="236"/>
    </row>
    <row r="113" spans="45:45" s="155" customFormat="1" ht="17.100000000000001" customHeight="1" x14ac:dyDescent="0.2">
      <c r="AS113" s="236"/>
    </row>
    <row r="114" spans="45:45" s="155" customFormat="1" ht="17.100000000000001" customHeight="1" x14ac:dyDescent="0.2">
      <c r="AS114" s="236"/>
    </row>
    <row r="115" spans="45:45" s="155" customFormat="1" ht="17.100000000000001" customHeight="1" x14ac:dyDescent="0.2">
      <c r="AS115" s="236"/>
    </row>
    <row r="116" spans="45:45" s="155" customFormat="1" ht="17.100000000000001" customHeight="1" x14ac:dyDescent="0.2">
      <c r="AS116" s="236"/>
    </row>
    <row r="117" spans="45:45" s="155" customFormat="1" ht="17.100000000000001" customHeight="1" x14ac:dyDescent="0.2">
      <c r="AS117" s="236"/>
    </row>
    <row r="118" spans="45:45" s="155" customFormat="1" ht="17.100000000000001" customHeight="1" x14ac:dyDescent="0.2">
      <c r="AS118" s="236"/>
    </row>
    <row r="119" spans="45:45" s="155" customFormat="1" ht="17.100000000000001" customHeight="1" x14ac:dyDescent="0.2">
      <c r="AS119" s="236"/>
    </row>
    <row r="120" spans="45:45" s="155" customFormat="1" ht="17.100000000000001" customHeight="1" x14ac:dyDescent="0.2">
      <c r="AS120" s="236"/>
    </row>
    <row r="121" spans="45:45" s="155" customFormat="1" ht="17.100000000000001" customHeight="1" x14ac:dyDescent="0.2">
      <c r="AS121" s="236"/>
    </row>
    <row r="122" spans="45:45" s="155" customFormat="1" ht="17.100000000000001" customHeight="1" x14ac:dyDescent="0.2">
      <c r="AS122" s="236"/>
    </row>
    <row r="123" spans="45:45" s="155" customFormat="1" ht="17.100000000000001" customHeight="1" x14ac:dyDescent="0.2">
      <c r="AS123" s="236"/>
    </row>
    <row r="124" spans="45:45" s="155" customFormat="1" ht="17.100000000000001" customHeight="1" x14ac:dyDescent="0.2">
      <c r="AS124" s="236"/>
    </row>
    <row r="125" spans="45:45" s="155" customFormat="1" ht="17.100000000000001" customHeight="1" x14ac:dyDescent="0.2">
      <c r="AS125" s="236"/>
    </row>
    <row r="126" spans="45:45" s="155" customFormat="1" ht="17.100000000000001" customHeight="1" x14ac:dyDescent="0.2">
      <c r="AS126" s="236"/>
    </row>
    <row r="127" spans="45:45" s="155" customFormat="1" ht="17.100000000000001" customHeight="1" x14ac:dyDescent="0.2">
      <c r="AS127" s="236"/>
    </row>
    <row r="128" spans="45:45" s="155" customFormat="1" ht="17.100000000000001" customHeight="1" x14ac:dyDescent="0.2">
      <c r="AS128" s="236"/>
    </row>
    <row r="129" spans="45:45" s="155" customFormat="1" ht="17.100000000000001" customHeight="1" x14ac:dyDescent="0.2">
      <c r="AS129" s="236"/>
    </row>
    <row r="130" spans="45:45" s="155" customFormat="1" ht="17.100000000000001" customHeight="1" x14ac:dyDescent="0.2">
      <c r="AS130" s="236"/>
    </row>
    <row r="131" spans="45:45" s="155" customFormat="1" ht="17.100000000000001" customHeight="1" x14ac:dyDescent="0.2">
      <c r="AS131" s="236"/>
    </row>
    <row r="132" spans="45:45" s="155" customFormat="1" ht="17.100000000000001" customHeight="1" x14ac:dyDescent="0.2">
      <c r="AS132" s="236"/>
    </row>
    <row r="133" spans="45:45" s="155" customFormat="1" ht="17.100000000000001" customHeight="1" x14ac:dyDescent="0.2">
      <c r="AS133" s="236"/>
    </row>
    <row r="134" spans="45:45" s="155" customFormat="1" ht="17.100000000000001" customHeight="1" x14ac:dyDescent="0.2">
      <c r="AS134" s="236"/>
    </row>
    <row r="135" spans="45:45" s="155" customFormat="1" ht="17.100000000000001" customHeight="1" x14ac:dyDescent="0.2">
      <c r="AS135" s="236"/>
    </row>
    <row r="136" spans="45:45" s="155" customFormat="1" ht="17.100000000000001" customHeight="1" x14ac:dyDescent="0.2">
      <c r="AS136" s="236"/>
    </row>
    <row r="137" spans="45:45" s="155" customFormat="1" ht="17.100000000000001" customHeight="1" x14ac:dyDescent="0.2">
      <c r="AS137" s="236"/>
    </row>
    <row r="138" spans="45:45" s="155" customFormat="1" ht="17.100000000000001" customHeight="1" x14ac:dyDescent="0.2">
      <c r="AS138" s="236"/>
    </row>
    <row r="139" spans="45:45" s="155" customFormat="1" ht="17.100000000000001" customHeight="1" x14ac:dyDescent="0.2">
      <c r="AS139" s="236"/>
    </row>
    <row r="140" spans="45:45" s="155" customFormat="1" ht="17.100000000000001" customHeight="1" x14ac:dyDescent="0.2">
      <c r="AS140" s="236"/>
    </row>
    <row r="141" spans="45:45" s="155" customFormat="1" ht="17.100000000000001" customHeight="1" x14ac:dyDescent="0.2">
      <c r="AS141" s="236"/>
    </row>
    <row r="142" spans="45:45" s="155" customFormat="1" ht="17.100000000000001" customHeight="1" x14ac:dyDescent="0.2">
      <c r="AS142" s="236"/>
    </row>
  </sheetData>
  <autoFilter ref="A9:BJ9" xr:uid="{00000000-0009-0000-0000-000003000000}"/>
  <mergeCells count="44">
    <mergeCell ref="L7:L8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Y7:Z7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X7"/>
    <mergeCell ref="BA7:BA8"/>
    <mergeCell ref="AB7:AB8"/>
    <mergeCell ref="AC7:AC8"/>
    <mergeCell ref="AD7:AF7"/>
    <mergeCell ref="AH7:AI7"/>
    <mergeCell ref="AJ7:AJ8"/>
    <mergeCell ref="AK7:AL7"/>
    <mergeCell ref="AO7:AP7"/>
    <mergeCell ref="AR7:AR8"/>
    <mergeCell ref="AS7:AS8"/>
    <mergeCell ref="AW7:AY7"/>
    <mergeCell ref="AZ7:AZ8"/>
    <mergeCell ref="AM7:AN7"/>
    <mergeCell ref="AG7:AG8"/>
    <mergeCell ref="AQ7:AQ8"/>
    <mergeCell ref="BB7:BB8"/>
    <mergeCell ref="BC7:BC8"/>
    <mergeCell ref="BH7:BH8"/>
    <mergeCell ref="BI7:BI8"/>
    <mergeCell ref="BJ7:BJ8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A90F97"/>
  </sheetPr>
  <dimension ref="A1:ES37"/>
  <sheetViews>
    <sheetView zoomScale="80" zoomScaleNormal="80" workbookViewId="0">
      <pane xSplit="3" topLeftCell="DY1" activePane="topRight" state="frozen"/>
      <selection pane="topRight" activeCell="A26" sqref="A26:XFD26"/>
    </sheetView>
  </sheetViews>
  <sheetFormatPr baseColWidth="10" defaultColWidth="11.42578125" defaultRowHeight="15" outlineLevelCol="1" x14ac:dyDescent="0.25"/>
  <cols>
    <col min="1" max="1" width="11.140625" style="23" customWidth="1"/>
    <col min="2" max="2" width="47.42578125" customWidth="1"/>
    <col min="3" max="3" width="18" customWidth="1"/>
    <col min="4" max="4" width="18.7109375" bestFit="1" customWidth="1"/>
    <col min="5" max="5" width="20.85546875" bestFit="1" customWidth="1"/>
    <col min="6" max="6" width="27" bestFit="1" customWidth="1"/>
    <col min="7" max="7" width="16.7109375" hidden="1" customWidth="1" outlineLevel="1"/>
    <col min="8" max="8" width="17.7109375" hidden="1" customWidth="1" outlineLevel="1"/>
    <col min="9" max="9" width="20" hidden="1" customWidth="1" outlineLevel="1"/>
    <col min="10" max="10" width="25.28515625" hidden="1" customWidth="1" outlineLevel="1"/>
    <col min="11" max="11" width="22" bestFit="1" customWidth="1" collapsed="1"/>
    <col min="12" max="12" width="1" style="35" customWidth="1"/>
    <col min="13" max="13" width="27.85546875" bestFit="1" customWidth="1"/>
    <col min="14" max="14" width="20.28515625" customWidth="1"/>
    <col min="15" max="15" width="36.140625" bestFit="1" customWidth="1"/>
    <col min="16" max="16" width="19.42578125" hidden="1" customWidth="1" outlineLevel="1"/>
    <col min="17" max="17" width="17.7109375" hidden="1" customWidth="1" outlineLevel="1"/>
    <col min="18" max="18" width="18" hidden="1" customWidth="1" outlineLevel="1"/>
    <col min="19" max="19" width="25.28515625" hidden="1" customWidth="1" outlineLevel="1"/>
    <col min="20" max="20" width="22" bestFit="1" customWidth="1" collapsed="1"/>
    <col min="21" max="21" width="0.85546875" style="35" customWidth="1"/>
    <col min="22" max="22" width="14.5703125" customWidth="1"/>
    <col min="23" max="23" width="13.5703125" bestFit="1" customWidth="1"/>
    <col min="24" max="24" width="27" bestFit="1" customWidth="1"/>
    <col min="25" max="25" width="14.42578125" hidden="1" customWidth="1" outlineLevel="1"/>
    <col min="26" max="26" width="17.7109375" hidden="1" customWidth="1" outlineLevel="1"/>
    <col min="27" max="27" width="18" hidden="1" customWidth="1" outlineLevel="1"/>
    <col min="28" max="28" width="25.28515625" hidden="1" customWidth="1" outlineLevel="1"/>
    <col min="29" max="29" width="22" bestFit="1" customWidth="1" collapsed="1"/>
    <col min="30" max="30" width="0.85546875" style="35" customWidth="1"/>
    <col min="31" max="31" width="15.85546875" customWidth="1"/>
    <col min="32" max="32" width="13.7109375" customWidth="1"/>
    <col min="33" max="33" width="27" bestFit="1" customWidth="1"/>
    <col min="34" max="34" width="15.28515625" hidden="1" customWidth="1" outlineLevel="1"/>
    <col min="35" max="35" width="17.7109375" hidden="1" customWidth="1" outlineLevel="1"/>
    <col min="36" max="36" width="25.140625" hidden="1" customWidth="1" outlineLevel="1"/>
    <col min="37" max="37" width="25.28515625" hidden="1" customWidth="1" outlineLevel="1"/>
    <col min="38" max="38" width="22" bestFit="1" customWidth="1" collapsed="1"/>
    <col min="39" max="39" width="1.140625" style="35" customWidth="1"/>
    <col min="40" max="40" width="15.7109375" customWidth="1"/>
    <col min="41" max="41" width="13.5703125" bestFit="1" customWidth="1"/>
    <col min="42" max="42" width="27" bestFit="1" customWidth="1"/>
    <col min="43" max="43" width="15.5703125" hidden="1" customWidth="1" outlineLevel="1"/>
    <col min="44" max="44" width="17.7109375" hidden="1" customWidth="1" outlineLevel="1"/>
    <col min="45" max="45" width="18" hidden="1" customWidth="1" outlineLevel="1"/>
    <col min="46" max="46" width="25.28515625" hidden="1" customWidth="1" outlineLevel="1"/>
    <col min="47" max="47" width="22" bestFit="1" customWidth="1" collapsed="1"/>
    <col min="48" max="48" width="1" style="35" customWidth="1"/>
    <col min="49" max="49" width="14.28515625" customWidth="1"/>
    <col min="50" max="50" width="13.5703125" bestFit="1" customWidth="1"/>
    <col min="51" max="51" width="27" bestFit="1" customWidth="1"/>
    <col min="52" max="52" width="15.42578125" hidden="1" customWidth="1" outlineLevel="1"/>
    <col min="53" max="54" width="25.140625" hidden="1" customWidth="1" outlineLevel="1"/>
    <col min="55" max="55" width="25.28515625" hidden="1" customWidth="1" outlineLevel="1"/>
    <col min="56" max="56" width="22" bestFit="1" customWidth="1" collapsed="1"/>
    <col min="57" max="57" width="1" style="35" customWidth="1"/>
    <col min="58" max="58" width="16.28515625" customWidth="1"/>
    <col min="59" max="59" width="15.42578125" customWidth="1"/>
    <col min="60" max="60" width="27" bestFit="1" customWidth="1"/>
    <col min="61" max="61" width="14.42578125" hidden="1" customWidth="1" outlineLevel="1"/>
    <col min="62" max="63" width="25.140625" hidden="1" customWidth="1" outlineLevel="1"/>
    <col min="64" max="64" width="25.28515625" hidden="1" customWidth="1" outlineLevel="1"/>
    <col min="65" max="65" width="21.85546875" customWidth="1" collapsed="1"/>
    <col min="66" max="66" width="0.5703125" style="35" customWidth="1"/>
    <col min="67" max="67" width="16.140625" customWidth="1"/>
    <col min="68" max="68" width="13.5703125" bestFit="1" customWidth="1"/>
    <col min="69" max="69" width="27" bestFit="1" customWidth="1"/>
    <col min="70" max="70" width="15.5703125" hidden="1" customWidth="1" outlineLevel="1"/>
    <col min="71" max="71" width="17.7109375" hidden="1" customWidth="1" outlineLevel="1"/>
    <col min="72" max="72" width="25.140625" hidden="1" customWidth="1" outlineLevel="1"/>
    <col min="73" max="73" width="25.28515625" hidden="1" customWidth="1" outlineLevel="1"/>
    <col min="74" max="74" width="18.85546875" bestFit="1" customWidth="1" collapsed="1"/>
    <col min="75" max="75" width="0.7109375" style="35" customWidth="1"/>
    <col min="76" max="76" width="14.7109375" customWidth="1"/>
    <col min="77" max="77" width="13.5703125" bestFit="1" customWidth="1"/>
    <col min="78" max="78" width="27" bestFit="1" customWidth="1"/>
    <col min="79" max="79" width="14.42578125" hidden="1" customWidth="1" outlineLevel="1"/>
    <col min="80" max="81" width="25.140625" hidden="1" customWidth="1" outlineLevel="1"/>
    <col min="82" max="82" width="25.28515625" hidden="1" customWidth="1" outlineLevel="1"/>
    <col min="83" max="83" width="18.85546875" bestFit="1" customWidth="1" collapsed="1"/>
    <col min="84" max="84" width="1" style="35" customWidth="1"/>
    <col min="85" max="85" width="15.28515625" customWidth="1"/>
    <col min="86" max="86" width="13.5703125" bestFit="1" customWidth="1"/>
    <col min="87" max="87" width="27" bestFit="1" customWidth="1"/>
    <col min="88" max="88" width="14.42578125" hidden="1" customWidth="1" outlineLevel="1"/>
    <col min="89" max="89" width="19.85546875" hidden="1" customWidth="1" outlineLevel="1"/>
    <col min="90" max="90" width="20.140625" hidden="1" customWidth="1" outlineLevel="1"/>
    <col min="91" max="91" width="25.28515625" hidden="1" customWidth="1" outlineLevel="1"/>
    <col min="92" max="92" width="18.85546875" bestFit="1" customWidth="1" collapsed="1"/>
    <col min="93" max="93" width="1.28515625" style="35" customWidth="1"/>
    <col min="94" max="94" width="16.140625" customWidth="1"/>
    <col min="95" max="95" width="14.5703125" customWidth="1"/>
    <col min="96" max="96" width="27" bestFit="1" customWidth="1"/>
    <col min="97" max="97" width="16" hidden="1" customWidth="1" outlineLevel="1"/>
    <col min="98" max="99" width="25.140625" hidden="1" customWidth="1" outlineLevel="1"/>
    <col min="100" max="100" width="25.28515625" hidden="1" customWidth="1" outlineLevel="1"/>
    <col min="101" max="101" width="18.85546875" bestFit="1" customWidth="1" collapsed="1"/>
    <col min="102" max="102" width="1.42578125" style="35" customWidth="1"/>
    <col min="103" max="103" width="14.28515625" customWidth="1"/>
    <col min="104" max="104" width="14.140625" customWidth="1"/>
    <col min="105" max="105" width="27" bestFit="1" customWidth="1"/>
    <col min="106" max="106" width="13.7109375" hidden="1" customWidth="1" outlineLevel="1"/>
    <col min="107" max="108" width="25.140625" hidden="1" customWidth="1" outlineLevel="1"/>
    <col min="109" max="109" width="25.28515625" hidden="1" customWidth="1" outlineLevel="1"/>
    <col min="110" max="110" width="18.85546875" bestFit="1" customWidth="1" collapsed="1"/>
    <col min="111" max="111" width="1.7109375" style="35" customWidth="1"/>
    <col min="112" max="112" width="16.140625" customWidth="1"/>
    <col min="113" max="113" width="15.140625" customWidth="1"/>
    <col min="114" max="114" width="27" bestFit="1" customWidth="1"/>
    <col min="115" max="115" width="15.5703125" hidden="1" customWidth="1" outlineLevel="1"/>
    <col min="116" max="116" width="23.7109375" hidden="1" customWidth="1" outlineLevel="1"/>
    <col min="117" max="117" width="23.5703125" hidden="1" customWidth="1" outlineLevel="1"/>
    <col min="118" max="118" width="25.28515625" hidden="1" customWidth="1" outlineLevel="1"/>
    <col min="119" max="119" width="18.85546875" bestFit="1" customWidth="1" collapsed="1"/>
    <col min="120" max="120" width="1.28515625" style="35" customWidth="1"/>
    <col min="121" max="121" width="15.85546875" customWidth="1"/>
    <col min="122" max="122" width="14.28515625" customWidth="1"/>
    <col min="123" max="123" width="27" bestFit="1" customWidth="1"/>
    <col min="124" max="124" width="17.5703125" hidden="1" customWidth="1" outlineLevel="1"/>
    <col min="125" max="125" width="25.140625" hidden="1" customWidth="1" outlineLevel="1"/>
    <col min="126" max="126" width="20.85546875" hidden="1" customWidth="1" outlineLevel="1"/>
    <col min="127" max="127" width="25.28515625" hidden="1" customWidth="1" outlineLevel="1"/>
    <col min="128" max="128" width="18.85546875" bestFit="1" customWidth="1" collapsed="1"/>
    <col min="129" max="129" width="1.140625" style="35" customWidth="1"/>
    <col min="130" max="130" width="15.7109375" customWidth="1"/>
    <col min="131" max="131" width="16" customWidth="1"/>
    <col min="132" max="132" width="27" bestFit="1" customWidth="1"/>
    <col min="133" max="133" width="15.7109375" hidden="1" customWidth="1" outlineLevel="1"/>
    <col min="134" max="134" width="21.5703125" hidden="1" customWidth="1" outlineLevel="1"/>
    <col min="135" max="135" width="25.140625" hidden="1" customWidth="1" outlineLevel="1"/>
    <col min="136" max="136" width="25.28515625" hidden="1" customWidth="1" outlineLevel="1"/>
    <col min="137" max="137" width="18.85546875" bestFit="1" customWidth="1" collapsed="1"/>
    <col min="138" max="138" width="2.7109375" customWidth="1"/>
    <col min="139" max="139" width="1.28515625" style="35" customWidth="1"/>
    <col min="140" max="140" width="3.140625" customWidth="1"/>
    <col min="141" max="141" width="22.42578125" bestFit="1" customWidth="1"/>
    <col min="142" max="142" width="20.28515625" customWidth="1"/>
    <col min="143" max="143" width="18" customWidth="1"/>
    <col min="144" max="144" width="17.140625" customWidth="1"/>
    <col min="145" max="145" width="18.7109375" customWidth="1"/>
    <col min="146" max="146" width="16.7109375" customWidth="1"/>
    <col min="147" max="147" width="22.7109375" customWidth="1"/>
    <col min="148" max="148" width="16.140625" bestFit="1" customWidth="1"/>
    <col min="149" max="149" width="19.28515625" customWidth="1"/>
  </cols>
  <sheetData>
    <row r="1" spans="1:149" ht="18.75" x14ac:dyDescent="0.25">
      <c r="A1" s="34"/>
      <c r="D1" s="349" t="s">
        <v>129</v>
      </c>
      <c r="E1" s="350"/>
      <c r="F1" s="351"/>
      <c r="G1" s="248"/>
      <c r="M1" s="333" t="s">
        <v>80</v>
      </c>
      <c r="N1" s="333"/>
      <c r="O1" s="333"/>
      <c r="P1" s="249"/>
      <c r="R1" s="22"/>
      <c r="S1" s="22"/>
    </row>
    <row r="2" spans="1:149" x14ac:dyDescent="0.25">
      <c r="A2" s="46" t="s">
        <v>146</v>
      </c>
      <c r="B2" s="46" t="s">
        <v>139</v>
      </c>
      <c r="C2" s="46" t="s">
        <v>140</v>
      </c>
      <c r="D2" s="46" t="s">
        <v>256</v>
      </c>
      <c r="E2" s="46" t="s">
        <v>257</v>
      </c>
      <c r="F2" s="46" t="s">
        <v>249</v>
      </c>
      <c r="G2" s="46" t="s">
        <v>258</v>
      </c>
      <c r="H2" s="46" t="s">
        <v>259</v>
      </c>
      <c r="M2" s="330" t="s">
        <v>158</v>
      </c>
      <c r="N2" s="330"/>
      <c r="O2" s="46" t="s">
        <v>255</v>
      </c>
      <c r="P2" s="248"/>
      <c r="Q2" s="50"/>
      <c r="R2" s="50"/>
      <c r="S2" s="50"/>
    </row>
    <row r="3" spans="1:149" x14ac:dyDescent="0.25">
      <c r="A3" s="47">
        <v>1</v>
      </c>
      <c r="B3" s="245">
        <v>0.30763888888888891</v>
      </c>
      <c r="C3" s="245">
        <v>0.75</v>
      </c>
      <c r="D3" s="245">
        <v>0.5</v>
      </c>
      <c r="E3" s="245">
        <v>0.54166666666666663</v>
      </c>
      <c r="F3" s="245">
        <f>E3-D3</f>
        <v>4.166666666666663E-2</v>
      </c>
      <c r="G3" s="32">
        <f>C3-B3-F3</f>
        <v>0.40069444444444446</v>
      </c>
      <c r="H3" s="31">
        <f>G3*1440</f>
        <v>577</v>
      </c>
      <c r="M3" s="55" t="s">
        <v>154</v>
      </c>
      <c r="N3" s="55"/>
      <c r="O3" s="251" t="s">
        <v>4</v>
      </c>
      <c r="P3" s="250"/>
      <c r="Q3" s="50"/>
      <c r="R3" s="50"/>
      <c r="S3" s="50"/>
    </row>
    <row r="4" spans="1:149" x14ac:dyDescent="0.25">
      <c r="A4" s="47">
        <v>2</v>
      </c>
      <c r="B4" s="245">
        <v>0.33333333333333331</v>
      </c>
      <c r="C4" s="245">
        <v>0.75</v>
      </c>
      <c r="D4" s="245">
        <v>0.5</v>
      </c>
      <c r="E4" s="245">
        <v>0.54166666666666663</v>
      </c>
      <c r="F4" s="245">
        <f>E4-D4</f>
        <v>4.166666666666663E-2</v>
      </c>
      <c r="G4" s="32">
        <f>C4-B4-F4</f>
        <v>0.37500000000000006</v>
      </c>
      <c r="H4" s="31">
        <f>G4*1440</f>
        <v>540.00000000000011</v>
      </c>
      <c r="M4" s="45" t="s">
        <v>150</v>
      </c>
      <c r="N4" s="39" t="s">
        <v>39</v>
      </c>
      <c r="O4" s="252" t="s">
        <v>11</v>
      </c>
      <c r="P4" s="250"/>
      <c r="Q4" s="50"/>
      <c r="R4" s="50"/>
      <c r="S4" s="50"/>
    </row>
    <row r="5" spans="1:149" x14ac:dyDescent="0.25">
      <c r="A5" s="240"/>
      <c r="B5" s="241"/>
      <c r="C5" s="241"/>
      <c r="D5" s="242"/>
      <c r="E5" s="243"/>
      <c r="F5" s="243"/>
      <c r="G5" s="244"/>
      <c r="M5" s="45" t="s">
        <v>147</v>
      </c>
      <c r="N5" s="40" t="s">
        <v>143</v>
      </c>
      <c r="Q5" s="50"/>
      <c r="R5" s="50"/>
      <c r="S5" s="50"/>
    </row>
    <row r="6" spans="1:149" ht="21" x14ac:dyDescent="0.25">
      <c r="B6" s="24"/>
      <c r="C6" s="24"/>
      <c r="D6" s="24"/>
      <c r="E6" s="24"/>
      <c r="F6" s="24"/>
      <c r="G6" s="24"/>
      <c r="H6" s="24"/>
      <c r="I6" s="24"/>
      <c r="J6" s="24"/>
      <c r="M6" s="45" t="s">
        <v>148</v>
      </c>
      <c r="N6" s="41" t="s">
        <v>55</v>
      </c>
      <c r="Q6" s="50"/>
      <c r="R6" s="50"/>
      <c r="S6" s="50"/>
      <c r="EK6" s="352"/>
      <c r="EL6" s="352"/>
      <c r="EM6" s="352"/>
      <c r="EN6" s="352"/>
      <c r="EO6" s="352"/>
      <c r="EP6" s="352"/>
      <c r="EQ6" s="352"/>
    </row>
    <row r="7" spans="1:149" ht="22.5" customHeight="1" x14ac:dyDescent="0.25">
      <c r="A7" s="333" t="s">
        <v>182</v>
      </c>
      <c r="B7" s="333"/>
      <c r="C7" s="333"/>
      <c r="M7" s="55" t="s">
        <v>261</v>
      </c>
      <c r="N7" s="253" t="s">
        <v>260</v>
      </c>
      <c r="O7" s="64"/>
      <c r="Q7" s="50"/>
      <c r="R7" s="50"/>
      <c r="S7" s="50"/>
      <c r="BI7" s="48"/>
      <c r="EK7" s="105"/>
      <c r="EL7" s="105"/>
      <c r="EM7" s="106"/>
      <c r="EN7" s="106"/>
      <c r="EO7" s="107"/>
      <c r="EP7" s="107"/>
      <c r="EQ7" s="105"/>
    </row>
    <row r="8" spans="1:149" ht="17.25" customHeight="1" x14ac:dyDescent="0.25">
      <c r="A8" s="339">
        <v>1</v>
      </c>
      <c r="B8" s="335" t="s">
        <v>183</v>
      </c>
      <c r="C8" s="336"/>
      <c r="G8" s="26"/>
      <c r="M8" s="45" t="s">
        <v>152</v>
      </c>
      <c r="N8" s="42" t="s">
        <v>157</v>
      </c>
      <c r="O8" s="64"/>
      <c r="EK8" s="64"/>
      <c r="EL8" s="64"/>
      <c r="EM8" s="64"/>
      <c r="EN8" s="64"/>
      <c r="EO8" s="64"/>
      <c r="EP8" s="108"/>
      <c r="EQ8" s="109"/>
    </row>
    <row r="9" spans="1:149" ht="17.25" customHeight="1" x14ac:dyDescent="0.25">
      <c r="A9" s="339"/>
      <c r="B9" s="337"/>
      <c r="C9" s="338"/>
      <c r="E9" s="53"/>
      <c r="F9" s="53"/>
      <c r="G9" s="246"/>
      <c r="M9" s="45" t="s">
        <v>151</v>
      </c>
      <c r="N9" s="43" t="s">
        <v>156</v>
      </c>
      <c r="O9" s="64"/>
      <c r="EK9" s="64"/>
      <c r="EL9" s="64"/>
      <c r="EM9" s="64"/>
      <c r="EN9" s="64"/>
      <c r="EO9" s="64"/>
      <c r="EP9" s="108"/>
      <c r="EQ9" s="109"/>
    </row>
    <row r="10" spans="1:149" ht="30" customHeight="1" x14ac:dyDescent="0.25">
      <c r="A10" s="55">
        <v>2</v>
      </c>
      <c r="B10" s="334" t="s">
        <v>184</v>
      </c>
      <c r="C10" s="334"/>
      <c r="G10" s="246"/>
      <c r="H10" s="247"/>
      <c r="I10" s="247"/>
      <c r="M10" s="45" t="s">
        <v>149</v>
      </c>
      <c r="N10" s="44" t="s">
        <v>155</v>
      </c>
      <c r="O10" s="64"/>
      <c r="EK10" s="64"/>
      <c r="EL10" s="64"/>
      <c r="EM10" s="64"/>
      <c r="EN10" s="64"/>
      <c r="EO10" s="64"/>
      <c r="EP10" s="108"/>
      <c r="EQ10" s="109"/>
    </row>
    <row r="11" spans="1:149" x14ac:dyDescent="0.25">
      <c r="A11" s="64"/>
      <c r="G11" s="26"/>
      <c r="M11" s="55" t="s">
        <v>161</v>
      </c>
      <c r="N11" s="66" t="s">
        <v>163</v>
      </c>
      <c r="O11" s="65"/>
    </row>
    <row r="12" spans="1:149" ht="30" x14ac:dyDescent="0.25">
      <c r="A12" s="110"/>
      <c r="B12" s="110"/>
      <c r="C12" s="110"/>
      <c r="G12" s="26"/>
      <c r="I12" s="26"/>
      <c r="M12" s="27" t="s">
        <v>162</v>
      </c>
      <c r="N12" s="67" t="s">
        <v>164</v>
      </c>
    </row>
    <row r="13" spans="1:149" x14ac:dyDescent="0.25">
      <c r="G13" s="26"/>
      <c r="M13" s="65"/>
      <c r="N13" s="64"/>
      <c r="O13" s="64"/>
    </row>
    <row r="14" spans="1:149" x14ac:dyDescent="0.25">
      <c r="G14" s="26"/>
      <c r="M14" s="65"/>
      <c r="N14" s="64"/>
      <c r="O14" s="64"/>
    </row>
    <row r="15" spans="1:149" s="51" customFormat="1" ht="24.75" customHeight="1" x14ac:dyDescent="0.35">
      <c r="A15" s="56"/>
      <c r="D15" s="332" t="str">
        <f>IF(AND(DAY(D17)=1,MONTH(D17)=5),"⚠️ HOY ES 1 DE MAYO - PAGO DOBLE","")</f>
        <v/>
      </c>
      <c r="E15" s="332"/>
      <c r="F15" s="332"/>
      <c r="G15" s="332"/>
      <c r="H15" s="332"/>
      <c r="I15" s="332"/>
      <c r="J15" s="332"/>
      <c r="K15" s="332"/>
      <c r="L15" s="52"/>
      <c r="M15" s="332" t="str">
        <f>IF(AND(DAY(M17)=1,MONTH(M17)=5),"⚠️ HOY ES 1 DE MAYO - PAGO DOBLE","")</f>
        <v/>
      </c>
      <c r="N15" s="332"/>
      <c r="O15" s="332"/>
      <c r="P15" s="332"/>
      <c r="Q15" s="332"/>
      <c r="R15" s="332"/>
      <c r="S15" s="332"/>
      <c r="T15" s="332"/>
      <c r="U15" s="52"/>
      <c r="V15" s="332" t="str">
        <f>IF(AND(DAY(V17)=1,MONTH(V17)=5),"⚠️ HOY ES 1 DE MAYO - PAGO DOBLE","")</f>
        <v/>
      </c>
      <c r="W15" s="332"/>
      <c r="X15" s="332"/>
      <c r="Y15" s="332"/>
      <c r="Z15" s="332"/>
      <c r="AA15" s="332"/>
      <c r="AB15" s="332"/>
      <c r="AC15" s="332"/>
      <c r="AD15" s="52"/>
      <c r="AE15" s="332" t="str">
        <f>IF(AND(DAY(AE17)=1,MONTH(AE17)=5),"⚠️ HOY ES 1 DE MAYO - PAGO DOBLE","")</f>
        <v/>
      </c>
      <c r="AF15" s="332"/>
      <c r="AG15" s="332"/>
      <c r="AH15" s="332"/>
      <c r="AI15" s="332"/>
      <c r="AJ15" s="332"/>
      <c r="AK15" s="332"/>
      <c r="AL15" s="332"/>
      <c r="AM15" s="52"/>
      <c r="AN15" s="332" t="str">
        <f>IF(AND(DAY(AN17)=1,MONTH(AN17)=5),"⚠️ HOY ES 1 DE MAYO - PAGO DOBLE","")</f>
        <v/>
      </c>
      <c r="AO15" s="332"/>
      <c r="AP15" s="332"/>
      <c r="AQ15" s="332"/>
      <c r="AR15" s="332"/>
      <c r="AS15" s="332"/>
      <c r="AT15" s="332"/>
      <c r="AU15" s="332"/>
      <c r="AV15" s="52"/>
      <c r="AW15" s="332" t="str">
        <f>IF(AND(DAY(AW17)=1,MONTH(AW17)=5),"⚠️ HOY ES 1 DE MAYO - PAGO DOBLE","")</f>
        <v/>
      </c>
      <c r="AX15" s="332"/>
      <c r="AY15" s="332"/>
      <c r="AZ15" s="332"/>
      <c r="BA15" s="332"/>
      <c r="BB15" s="332"/>
      <c r="BC15" s="332"/>
      <c r="BD15" s="332"/>
      <c r="BE15" s="52"/>
      <c r="BF15" s="332" t="str">
        <f>IF(AND(DAY(BF17)=1,MONTH(BF17)=5),"⚠️ HOY ES 1 DE MAYO - PAGO DOBLE","")</f>
        <v/>
      </c>
      <c r="BG15" s="332"/>
      <c r="BH15" s="332"/>
      <c r="BI15" s="332"/>
      <c r="BJ15" s="332"/>
      <c r="BK15" s="332"/>
      <c r="BL15" s="332"/>
      <c r="BM15" s="332"/>
      <c r="BN15" s="52"/>
      <c r="BO15" s="332" t="str">
        <f>IF(AND(DAY(BO17)=1,MONTH(BO17)=5),"⚠️ HOY ES 1 DE MAYO - PAGO DOBLE","")</f>
        <v/>
      </c>
      <c r="BP15" s="332"/>
      <c r="BQ15" s="332"/>
      <c r="BR15" s="332"/>
      <c r="BS15" s="332"/>
      <c r="BT15" s="332"/>
      <c r="BU15" s="332"/>
      <c r="BV15" s="332"/>
      <c r="BW15" s="52"/>
      <c r="BX15" s="332" t="str">
        <f>IF(AND(DAY(BX17)=1,MONTH(BX17)=5),"⚠️ HOY ES 1 DE MAYO - PAGO DOBLE","")</f>
        <v/>
      </c>
      <c r="BY15" s="332"/>
      <c r="BZ15" s="332"/>
      <c r="CA15" s="332"/>
      <c r="CB15" s="332"/>
      <c r="CC15" s="332"/>
      <c r="CD15" s="332"/>
      <c r="CE15" s="332"/>
      <c r="CF15" s="52"/>
      <c r="CG15" s="332" t="str">
        <f>IF(AND(DAY(CG17)=1,MONTH(CG17)=5),"⚠️ HOY ES 1 DE MAYO - PAGO DOBLE","")</f>
        <v/>
      </c>
      <c r="CH15" s="332"/>
      <c r="CI15" s="332"/>
      <c r="CJ15" s="332"/>
      <c r="CK15" s="332"/>
      <c r="CL15" s="332"/>
      <c r="CM15" s="332"/>
      <c r="CN15" s="332"/>
      <c r="CO15" s="52"/>
      <c r="CP15" s="332" t="str">
        <f>IF(AND(DAY(CP17)=1,MONTH(CP17)=5),"⚠️ HOY ES 1 DE MAYO - PAGO DOBLE","")</f>
        <v/>
      </c>
      <c r="CQ15" s="332"/>
      <c r="CR15" s="332"/>
      <c r="CS15" s="332"/>
      <c r="CT15" s="332"/>
      <c r="CU15" s="332"/>
      <c r="CV15" s="332"/>
      <c r="CW15" s="332"/>
      <c r="CX15" s="52"/>
      <c r="CY15" s="332" t="str">
        <f>IF(AND(DAY(CY17)=1,MONTH(CY17)=5),"⚠️ HOY ES 1 DE MAYO - PAGO DOBLE","")</f>
        <v/>
      </c>
      <c r="CZ15" s="332"/>
      <c r="DA15" s="332"/>
      <c r="DB15" s="332"/>
      <c r="DC15" s="332"/>
      <c r="DD15" s="332"/>
      <c r="DE15" s="332"/>
      <c r="DF15" s="332"/>
      <c r="DG15" s="52"/>
      <c r="DH15" s="332" t="str">
        <f>IF(AND(DAY(DH17)=1,MONTH(DH17)=5),"⚠️ HOY ES 1 DE MAYO - PAGO DOBLE","")</f>
        <v/>
      </c>
      <c r="DI15" s="332"/>
      <c r="DJ15" s="332"/>
      <c r="DK15" s="332"/>
      <c r="DL15" s="332"/>
      <c r="DM15" s="332"/>
      <c r="DN15" s="332"/>
      <c r="DO15" s="332"/>
      <c r="DP15" s="52"/>
      <c r="DQ15" s="332" t="str">
        <f>IF(AND(DAY(DQ17)=1,MONTH(DQ17)=5),"⚠️ HOY ES 1 DE MAYO - PAGO DOBLE","")</f>
        <v/>
      </c>
      <c r="DR15" s="332"/>
      <c r="DS15" s="332"/>
      <c r="DT15" s="332"/>
      <c r="DU15" s="332"/>
      <c r="DV15" s="332"/>
      <c r="DW15" s="332"/>
      <c r="DX15" s="332"/>
      <c r="DY15" s="52"/>
      <c r="DZ15" s="332" t="str">
        <f>IF(AND(DAY(DZ17)=1,MONTH(DZ17)=5),"⚠️ HOY ES 1 DE MAYO - PAGO DOBLE","")</f>
        <v/>
      </c>
      <c r="EA15" s="332"/>
      <c r="EB15" s="332"/>
      <c r="EC15" s="332"/>
      <c r="ED15" s="332"/>
      <c r="EE15" s="332"/>
      <c r="EF15" s="332"/>
      <c r="EG15" s="332"/>
      <c r="EI15" s="52"/>
      <c r="EK15" s="353" t="s">
        <v>172</v>
      </c>
      <c r="EL15" s="353"/>
      <c r="EM15" s="353"/>
      <c r="EN15" s="353"/>
      <c r="EO15" s="353"/>
      <c r="EP15" s="353"/>
      <c r="EQ15" s="353"/>
      <c r="ER15" s="353"/>
      <c r="ES15" s="353"/>
    </row>
    <row r="16" spans="1:149" ht="18.75" x14ac:dyDescent="0.3">
      <c r="A16" s="329" t="s">
        <v>159</v>
      </c>
      <c r="B16" s="329"/>
      <c r="C16" s="329"/>
      <c r="D16" s="348" t="str">
        <f>UPPER(TEXT(D17,"DDDD"))</f>
        <v>LUNES</v>
      </c>
      <c r="E16" s="331"/>
      <c r="F16" s="331"/>
      <c r="G16" s="331"/>
      <c r="H16" s="331"/>
      <c r="I16" s="331"/>
      <c r="J16" s="331"/>
      <c r="K16" s="331"/>
      <c r="M16" s="331" t="str">
        <f>UPPER(TEXT(M17,"DDDD"))</f>
        <v>MARTES</v>
      </c>
      <c r="N16" s="331"/>
      <c r="O16" s="331"/>
      <c r="P16" s="331"/>
      <c r="Q16" s="331"/>
      <c r="R16" s="331"/>
      <c r="S16" s="331"/>
      <c r="T16" s="331"/>
      <c r="V16" s="331" t="str">
        <f>UPPER(TEXT(V17,"DDDD"))</f>
        <v>MIÉRCOLES</v>
      </c>
      <c r="W16" s="331"/>
      <c r="X16" s="331"/>
      <c r="Y16" s="331"/>
      <c r="Z16" s="331"/>
      <c r="AA16" s="331"/>
      <c r="AB16" s="331"/>
      <c r="AC16" s="331"/>
      <c r="AE16" s="331" t="str">
        <f>UPPER(TEXT(AE17,"DDDD"))</f>
        <v>JUEVES</v>
      </c>
      <c r="AF16" s="331"/>
      <c r="AG16" s="331"/>
      <c r="AH16" s="331"/>
      <c r="AI16" s="331"/>
      <c r="AJ16" s="331"/>
      <c r="AK16" s="331"/>
      <c r="AL16" s="331"/>
      <c r="AN16" s="331" t="str">
        <f>UPPER(TEXT(AN17,"DDDD"))</f>
        <v>VIERNES</v>
      </c>
      <c r="AO16" s="331"/>
      <c r="AP16" s="331"/>
      <c r="AQ16" s="331"/>
      <c r="AR16" s="331"/>
      <c r="AS16" s="331"/>
      <c r="AT16" s="331"/>
      <c r="AU16" s="331"/>
      <c r="AW16" s="331" t="str">
        <f>UPPER(TEXT(AW17,"DDDD"))</f>
        <v>SÁBADO</v>
      </c>
      <c r="AX16" s="331"/>
      <c r="AY16" s="331"/>
      <c r="AZ16" s="331"/>
      <c r="BA16" s="331"/>
      <c r="BB16" s="331"/>
      <c r="BC16" s="331"/>
      <c r="BD16" s="331"/>
      <c r="BF16" s="331" t="str">
        <f>UPPER(TEXT(BF17,"DDDD"))</f>
        <v>DOMINGO</v>
      </c>
      <c r="BG16" s="331"/>
      <c r="BH16" s="331"/>
      <c r="BI16" s="331"/>
      <c r="BJ16" s="331"/>
      <c r="BK16" s="331"/>
      <c r="BL16" s="331"/>
      <c r="BM16" s="331"/>
      <c r="BO16" s="331" t="str">
        <f>UPPER(TEXT(BO17,"DDDD"))</f>
        <v>LUNES</v>
      </c>
      <c r="BP16" s="331"/>
      <c r="BQ16" s="331"/>
      <c r="BR16" s="331"/>
      <c r="BS16" s="331"/>
      <c r="BT16" s="331"/>
      <c r="BU16" s="331"/>
      <c r="BV16" s="331"/>
      <c r="BX16" s="331" t="str">
        <f>UPPER(TEXT(BX17,"DDDD"))</f>
        <v>MARTES</v>
      </c>
      <c r="BY16" s="331"/>
      <c r="BZ16" s="331"/>
      <c r="CA16" s="331"/>
      <c r="CB16" s="331"/>
      <c r="CC16" s="331"/>
      <c r="CD16" s="331"/>
      <c r="CE16" s="331"/>
      <c r="CG16" s="331" t="str">
        <f>UPPER(TEXT(CG17,"DDDD"))</f>
        <v>MIÉRCOLES</v>
      </c>
      <c r="CH16" s="331"/>
      <c r="CI16" s="331"/>
      <c r="CJ16" s="331"/>
      <c r="CK16" s="331"/>
      <c r="CL16" s="331"/>
      <c r="CM16" s="331"/>
      <c r="CN16" s="331"/>
      <c r="CP16" s="331" t="str">
        <f>UPPER(TEXT(CP17,"DDDD"))</f>
        <v>JUEVES</v>
      </c>
      <c r="CQ16" s="331"/>
      <c r="CR16" s="331"/>
      <c r="CS16" s="331"/>
      <c r="CT16" s="331"/>
      <c r="CU16" s="331"/>
      <c r="CV16" s="331"/>
      <c r="CW16" s="331"/>
      <c r="CY16" s="331" t="str">
        <f>UPPER(TEXT(CY17,"DDDD"))</f>
        <v>VIERNES</v>
      </c>
      <c r="CZ16" s="331"/>
      <c r="DA16" s="331"/>
      <c r="DB16" s="331"/>
      <c r="DC16" s="331"/>
      <c r="DD16" s="331"/>
      <c r="DE16" s="331"/>
      <c r="DF16" s="331"/>
      <c r="DH16" s="343" t="str">
        <f>UPPER(TEXT(DH17,"DDDD"))</f>
        <v>SÁBADO</v>
      </c>
      <c r="DI16" s="343"/>
      <c r="DJ16" s="343"/>
      <c r="DK16" s="343"/>
      <c r="DL16" s="343"/>
      <c r="DM16" s="343"/>
      <c r="DN16" s="343"/>
      <c r="DO16" s="343"/>
      <c r="DQ16" s="331" t="str">
        <f>UPPER(TEXT(DQ17,"DDDD"))</f>
        <v>DOMINGO</v>
      </c>
      <c r="DR16" s="331"/>
      <c r="DS16" s="331"/>
      <c r="DT16" s="331"/>
      <c r="DU16" s="331"/>
      <c r="DV16" s="331"/>
      <c r="DW16" s="331"/>
      <c r="DX16" s="331"/>
      <c r="DZ16" s="331" t="str">
        <f>UPPER(TEXT(DZ17,"DDDD"))</f>
        <v>LUNES</v>
      </c>
      <c r="EA16" s="331"/>
      <c r="EB16" s="331"/>
      <c r="EC16" s="331"/>
      <c r="ED16" s="331"/>
      <c r="EE16" s="331"/>
      <c r="EF16" s="331"/>
      <c r="EG16" s="331"/>
      <c r="EK16" s="340" t="s">
        <v>144</v>
      </c>
      <c r="EL16" s="340" t="s">
        <v>253</v>
      </c>
      <c r="EM16" s="340" t="s">
        <v>254</v>
      </c>
      <c r="EN16" s="340" t="s">
        <v>169</v>
      </c>
      <c r="EO16" s="340" t="s">
        <v>181</v>
      </c>
      <c r="EP16" s="340" t="s">
        <v>130</v>
      </c>
      <c r="EQ16" s="340" t="s">
        <v>142</v>
      </c>
      <c r="ER16" s="347" t="s">
        <v>39</v>
      </c>
      <c r="ES16" s="340" t="s">
        <v>137</v>
      </c>
    </row>
    <row r="17" spans="1:149" s="23" customFormat="1" ht="18.75" x14ac:dyDescent="0.25">
      <c r="A17" s="329"/>
      <c r="B17" s="329"/>
      <c r="C17" s="329"/>
      <c r="D17" s="326">
        <v>46174</v>
      </c>
      <c r="E17" s="327"/>
      <c r="F17" s="327"/>
      <c r="G17" s="327"/>
      <c r="H17" s="327"/>
      <c r="I17" s="327"/>
      <c r="J17" s="327"/>
      <c r="K17" s="328"/>
      <c r="L17" s="49"/>
      <c r="M17" s="326">
        <f>D17+1</f>
        <v>46175</v>
      </c>
      <c r="N17" s="327"/>
      <c r="O17" s="327"/>
      <c r="P17" s="327"/>
      <c r="Q17" s="327"/>
      <c r="R17" s="327"/>
      <c r="S17" s="327"/>
      <c r="T17" s="328"/>
      <c r="U17" s="49"/>
      <c r="V17" s="326">
        <f>M17+1</f>
        <v>46176</v>
      </c>
      <c r="W17" s="327"/>
      <c r="X17" s="327"/>
      <c r="Y17" s="327"/>
      <c r="Z17" s="327"/>
      <c r="AA17" s="327"/>
      <c r="AB17" s="327"/>
      <c r="AC17" s="328"/>
      <c r="AD17" s="49"/>
      <c r="AE17" s="326">
        <f>V17+1</f>
        <v>46177</v>
      </c>
      <c r="AF17" s="327"/>
      <c r="AG17" s="327"/>
      <c r="AH17" s="327"/>
      <c r="AI17" s="327"/>
      <c r="AJ17" s="327"/>
      <c r="AK17" s="327"/>
      <c r="AL17" s="328"/>
      <c r="AM17" s="49"/>
      <c r="AN17" s="326">
        <f>AE17+1</f>
        <v>46178</v>
      </c>
      <c r="AO17" s="327"/>
      <c r="AP17" s="327"/>
      <c r="AQ17" s="327"/>
      <c r="AR17" s="327"/>
      <c r="AS17" s="327"/>
      <c r="AT17" s="327"/>
      <c r="AU17" s="328"/>
      <c r="AV17" s="49"/>
      <c r="AW17" s="326">
        <f>AN17+1</f>
        <v>46179</v>
      </c>
      <c r="AX17" s="327"/>
      <c r="AY17" s="327"/>
      <c r="AZ17" s="327"/>
      <c r="BA17" s="327"/>
      <c r="BB17" s="327"/>
      <c r="BC17" s="327"/>
      <c r="BD17" s="328"/>
      <c r="BE17" s="49"/>
      <c r="BF17" s="326">
        <f>AW17+1</f>
        <v>46180</v>
      </c>
      <c r="BG17" s="327"/>
      <c r="BH17" s="327"/>
      <c r="BI17" s="327"/>
      <c r="BJ17" s="327"/>
      <c r="BK17" s="327"/>
      <c r="BL17" s="327"/>
      <c r="BM17" s="328"/>
      <c r="BN17" s="49"/>
      <c r="BO17" s="326">
        <f>BF17+1</f>
        <v>46181</v>
      </c>
      <c r="BP17" s="327"/>
      <c r="BQ17" s="327"/>
      <c r="BR17" s="327"/>
      <c r="BS17" s="327"/>
      <c r="BT17" s="327"/>
      <c r="BU17" s="327"/>
      <c r="BV17" s="328"/>
      <c r="BW17" s="49"/>
      <c r="BX17" s="326">
        <f>BO17+1</f>
        <v>46182</v>
      </c>
      <c r="BY17" s="327"/>
      <c r="BZ17" s="327"/>
      <c r="CA17" s="327"/>
      <c r="CB17" s="327"/>
      <c r="CC17" s="327"/>
      <c r="CD17" s="327"/>
      <c r="CE17" s="328"/>
      <c r="CF17" s="49"/>
      <c r="CG17" s="326">
        <f>BX17+1</f>
        <v>46183</v>
      </c>
      <c r="CH17" s="327"/>
      <c r="CI17" s="327"/>
      <c r="CJ17" s="327"/>
      <c r="CK17" s="327"/>
      <c r="CL17" s="327"/>
      <c r="CM17" s="327"/>
      <c r="CN17" s="328"/>
      <c r="CO17" s="49"/>
      <c r="CP17" s="326">
        <f>CG17+1</f>
        <v>46184</v>
      </c>
      <c r="CQ17" s="327"/>
      <c r="CR17" s="327"/>
      <c r="CS17" s="327"/>
      <c r="CT17" s="327"/>
      <c r="CU17" s="327"/>
      <c r="CV17" s="327"/>
      <c r="CW17" s="328"/>
      <c r="CX17" s="49"/>
      <c r="CY17" s="326">
        <f>CP17+1</f>
        <v>46185</v>
      </c>
      <c r="CZ17" s="327"/>
      <c r="DA17" s="327"/>
      <c r="DB17" s="327"/>
      <c r="DC17" s="327"/>
      <c r="DD17" s="327"/>
      <c r="DE17" s="327"/>
      <c r="DF17" s="328"/>
      <c r="DG17" s="49"/>
      <c r="DH17" s="344">
        <f>CY17+1</f>
        <v>46186</v>
      </c>
      <c r="DI17" s="345"/>
      <c r="DJ17" s="345"/>
      <c r="DK17" s="345"/>
      <c r="DL17" s="345"/>
      <c r="DM17" s="345"/>
      <c r="DN17" s="345"/>
      <c r="DO17" s="346"/>
      <c r="DP17" s="49"/>
      <c r="DQ17" s="326">
        <f>DH17+1</f>
        <v>46187</v>
      </c>
      <c r="DR17" s="327"/>
      <c r="DS17" s="327"/>
      <c r="DT17" s="327"/>
      <c r="DU17" s="327"/>
      <c r="DV17" s="327"/>
      <c r="DW17" s="327"/>
      <c r="DX17" s="328"/>
      <c r="DY17" s="49"/>
      <c r="DZ17" s="326">
        <f>DQ17+1</f>
        <v>46188</v>
      </c>
      <c r="EA17" s="327"/>
      <c r="EB17" s="327"/>
      <c r="EC17" s="327"/>
      <c r="ED17" s="327"/>
      <c r="EE17" s="327"/>
      <c r="EF17" s="327"/>
      <c r="EG17" s="328"/>
      <c r="EI17" s="49"/>
      <c r="EK17" s="341"/>
      <c r="EL17" s="341"/>
      <c r="EM17" s="341"/>
      <c r="EN17" s="341"/>
      <c r="EO17" s="341"/>
      <c r="EP17" s="341"/>
      <c r="EQ17" s="341"/>
      <c r="ER17" s="347"/>
      <c r="ES17" s="341"/>
    </row>
    <row r="18" spans="1:149" ht="18.75" customHeight="1" x14ac:dyDescent="0.25">
      <c r="A18" s="57" t="s">
        <v>131</v>
      </c>
      <c r="B18" s="58" t="s">
        <v>145</v>
      </c>
      <c r="C18" s="59" t="s">
        <v>146</v>
      </c>
      <c r="D18" s="25" t="s">
        <v>139</v>
      </c>
      <c r="E18" s="25" t="s">
        <v>140</v>
      </c>
      <c r="F18" s="25" t="s">
        <v>251</v>
      </c>
      <c r="G18" s="25" t="s">
        <v>141</v>
      </c>
      <c r="H18" s="25" t="s">
        <v>144</v>
      </c>
      <c r="I18" s="25" t="s">
        <v>252</v>
      </c>
      <c r="J18" s="25" t="s">
        <v>250</v>
      </c>
      <c r="K18" s="25" t="s">
        <v>153</v>
      </c>
      <c r="M18" s="25" t="s">
        <v>139</v>
      </c>
      <c r="N18" s="25" t="s">
        <v>140</v>
      </c>
      <c r="O18" s="25" t="s">
        <v>251</v>
      </c>
      <c r="P18" s="25" t="s">
        <v>141</v>
      </c>
      <c r="Q18" s="25" t="s">
        <v>144</v>
      </c>
      <c r="R18" s="25" t="s">
        <v>252</v>
      </c>
      <c r="S18" s="25" t="s">
        <v>250</v>
      </c>
      <c r="T18" s="25" t="s">
        <v>153</v>
      </c>
      <c r="V18" s="25" t="s">
        <v>139</v>
      </c>
      <c r="W18" s="25" t="s">
        <v>140</v>
      </c>
      <c r="X18" s="25" t="s">
        <v>251</v>
      </c>
      <c r="Y18" s="25" t="s">
        <v>141</v>
      </c>
      <c r="Z18" s="25" t="s">
        <v>144</v>
      </c>
      <c r="AA18" s="25" t="s">
        <v>252</v>
      </c>
      <c r="AB18" s="25" t="s">
        <v>250</v>
      </c>
      <c r="AC18" s="25" t="s">
        <v>153</v>
      </c>
      <c r="AE18" s="25" t="s">
        <v>139</v>
      </c>
      <c r="AF18" s="25" t="s">
        <v>140</v>
      </c>
      <c r="AG18" s="25" t="s">
        <v>251</v>
      </c>
      <c r="AH18" s="25" t="s">
        <v>141</v>
      </c>
      <c r="AI18" s="25" t="s">
        <v>144</v>
      </c>
      <c r="AJ18" s="25" t="s">
        <v>252</v>
      </c>
      <c r="AK18" s="25" t="s">
        <v>250</v>
      </c>
      <c r="AL18" s="25" t="s">
        <v>153</v>
      </c>
      <c r="AN18" s="25" t="s">
        <v>139</v>
      </c>
      <c r="AO18" s="25" t="s">
        <v>140</v>
      </c>
      <c r="AP18" s="25" t="s">
        <v>251</v>
      </c>
      <c r="AQ18" s="25" t="s">
        <v>141</v>
      </c>
      <c r="AR18" s="25" t="s">
        <v>144</v>
      </c>
      <c r="AS18" s="25" t="s">
        <v>252</v>
      </c>
      <c r="AT18" s="25" t="s">
        <v>250</v>
      </c>
      <c r="AU18" s="25" t="s">
        <v>153</v>
      </c>
      <c r="AW18" s="25" t="s">
        <v>139</v>
      </c>
      <c r="AX18" s="25" t="s">
        <v>140</v>
      </c>
      <c r="AY18" s="25" t="s">
        <v>251</v>
      </c>
      <c r="AZ18" s="25" t="s">
        <v>141</v>
      </c>
      <c r="BA18" s="25" t="s">
        <v>144</v>
      </c>
      <c r="BB18" s="25" t="s">
        <v>252</v>
      </c>
      <c r="BC18" s="25" t="s">
        <v>250</v>
      </c>
      <c r="BD18" s="25" t="s">
        <v>153</v>
      </c>
      <c r="BF18" s="25" t="s">
        <v>139</v>
      </c>
      <c r="BG18" s="25" t="s">
        <v>140</v>
      </c>
      <c r="BH18" s="25" t="s">
        <v>251</v>
      </c>
      <c r="BI18" s="25" t="s">
        <v>141</v>
      </c>
      <c r="BJ18" s="25" t="s">
        <v>144</v>
      </c>
      <c r="BK18" s="25" t="s">
        <v>252</v>
      </c>
      <c r="BL18" s="25" t="s">
        <v>250</v>
      </c>
      <c r="BM18" s="25" t="s">
        <v>153</v>
      </c>
      <c r="BO18" s="25" t="s">
        <v>139</v>
      </c>
      <c r="BP18" s="25" t="s">
        <v>140</v>
      </c>
      <c r="BQ18" s="25" t="s">
        <v>251</v>
      </c>
      <c r="BR18" s="25" t="s">
        <v>141</v>
      </c>
      <c r="BS18" s="25" t="s">
        <v>144</v>
      </c>
      <c r="BT18" s="25" t="s">
        <v>252</v>
      </c>
      <c r="BU18" s="25" t="s">
        <v>250</v>
      </c>
      <c r="BV18" s="25" t="s">
        <v>153</v>
      </c>
      <c r="BX18" s="25" t="s">
        <v>139</v>
      </c>
      <c r="BY18" s="25" t="s">
        <v>140</v>
      </c>
      <c r="BZ18" s="25" t="s">
        <v>251</v>
      </c>
      <c r="CA18" s="25" t="s">
        <v>141</v>
      </c>
      <c r="CB18" s="25" t="s">
        <v>144</v>
      </c>
      <c r="CC18" s="25" t="s">
        <v>252</v>
      </c>
      <c r="CD18" s="25" t="s">
        <v>250</v>
      </c>
      <c r="CE18" s="25" t="s">
        <v>153</v>
      </c>
      <c r="CG18" s="25" t="s">
        <v>139</v>
      </c>
      <c r="CH18" s="25" t="s">
        <v>140</v>
      </c>
      <c r="CI18" s="25" t="s">
        <v>251</v>
      </c>
      <c r="CJ18" s="25" t="s">
        <v>141</v>
      </c>
      <c r="CK18" s="25" t="s">
        <v>144</v>
      </c>
      <c r="CL18" s="25" t="s">
        <v>252</v>
      </c>
      <c r="CM18" s="25" t="s">
        <v>250</v>
      </c>
      <c r="CN18" s="25" t="s">
        <v>153</v>
      </c>
      <c r="CP18" s="25" t="s">
        <v>139</v>
      </c>
      <c r="CQ18" s="25" t="s">
        <v>140</v>
      </c>
      <c r="CR18" s="25" t="s">
        <v>251</v>
      </c>
      <c r="CS18" s="25" t="s">
        <v>141</v>
      </c>
      <c r="CT18" s="25" t="s">
        <v>144</v>
      </c>
      <c r="CU18" s="25" t="s">
        <v>252</v>
      </c>
      <c r="CV18" s="25" t="s">
        <v>250</v>
      </c>
      <c r="CW18" s="25" t="s">
        <v>153</v>
      </c>
      <c r="CY18" s="25" t="s">
        <v>139</v>
      </c>
      <c r="CZ18" s="25" t="s">
        <v>140</v>
      </c>
      <c r="DA18" s="25" t="s">
        <v>251</v>
      </c>
      <c r="DB18" s="25" t="s">
        <v>141</v>
      </c>
      <c r="DC18" s="25" t="s">
        <v>144</v>
      </c>
      <c r="DD18" s="25" t="s">
        <v>252</v>
      </c>
      <c r="DE18" s="25" t="s">
        <v>250</v>
      </c>
      <c r="DF18" s="25" t="s">
        <v>153</v>
      </c>
      <c r="DH18" s="237" t="s">
        <v>139</v>
      </c>
      <c r="DI18" s="237" t="s">
        <v>140</v>
      </c>
      <c r="DJ18" s="237" t="s">
        <v>251</v>
      </c>
      <c r="DK18" s="237" t="s">
        <v>141</v>
      </c>
      <c r="DL18" s="237" t="s">
        <v>144</v>
      </c>
      <c r="DM18" s="237" t="s">
        <v>252</v>
      </c>
      <c r="DN18" s="237" t="s">
        <v>250</v>
      </c>
      <c r="DO18" s="237" t="s">
        <v>153</v>
      </c>
      <c r="DQ18" s="25" t="s">
        <v>139</v>
      </c>
      <c r="DR18" s="25" t="s">
        <v>140</v>
      </c>
      <c r="DS18" s="25" t="s">
        <v>251</v>
      </c>
      <c r="DT18" s="25" t="s">
        <v>141</v>
      </c>
      <c r="DU18" s="25" t="s">
        <v>144</v>
      </c>
      <c r="DV18" s="25" t="s">
        <v>252</v>
      </c>
      <c r="DW18" s="25" t="s">
        <v>250</v>
      </c>
      <c r="DX18" s="25" t="s">
        <v>153</v>
      </c>
      <c r="DZ18" s="25" t="s">
        <v>139</v>
      </c>
      <c r="EA18" s="25" t="s">
        <v>140</v>
      </c>
      <c r="EB18" s="25" t="s">
        <v>251</v>
      </c>
      <c r="EC18" s="25" t="s">
        <v>141</v>
      </c>
      <c r="ED18" s="25" t="s">
        <v>144</v>
      </c>
      <c r="EE18" s="25" t="s">
        <v>252</v>
      </c>
      <c r="EF18" s="25" t="s">
        <v>250</v>
      </c>
      <c r="EG18" s="25" t="s">
        <v>153</v>
      </c>
      <c r="EK18" s="342"/>
      <c r="EL18" s="342"/>
      <c r="EM18" s="342"/>
      <c r="EN18" s="342"/>
      <c r="EO18" s="342"/>
      <c r="EP18" s="342"/>
      <c r="EQ18" s="342"/>
      <c r="ER18" s="347"/>
      <c r="ES18" s="342"/>
    </row>
    <row r="19" spans="1:149" s="30" customFormat="1" ht="20.25" customHeight="1" x14ac:dyDescent="0.25">
      <c r="A19" s="37">
        <v>1</v>
      </c>
      <c r="B19" s="33" t="str">
        <f>'1RA QUINCENA JUNIO 26'!B10</f>
        <v>CISNEROS PACOTAYPE KEVIN</v>
      </c>
      <c r="C19" s="38">
        <v>2</v>
      </c>
      <c r="D19" s="239"/>
      <c r="E19" s="238"/>
      <c r="F19" s="238"/>
      <c r="G19" s="28" t="str">
        <f>IF(OR(K19="VACACIONES",K19="FALTA",K19="LICENCIA",D19="",E19=""),"",IF(WEEKDAY($D$17,2)&gt;5,E19-D19,IF(F19="NO",MIN(E19,CHOOSE($C19,$C$3,$C$4))-MAX(D19,CHOOSE($C19,$B$3,$B$4))-CHOOSE($C19,$F$3,$F$4),E19-D19-CHOOSE($C19,$F$3,$F$4))))</f>
        <v/>
      </c>
      <c r="H19" s="29" t="str">
        <f t="shared" ref="H19:H33" si="0">IF(OR(K19="VACACIONES",K19="FALTA",K19="LICENCIA",D19="",E19="",WEEKDAY($D$17,2)&gt;5),"",
MAX(0,CHOOSE($C19,$H$3,$H$4)-(G19*1440))
)</f>
        <v/>
      </c>
      <c r="I19" s="29" t="str">
        <f t="shared" ref="I19:I33" si="1">IF(OR(K19="VACACIONES",K19="FALTA",K19="LICENCIA",D19="",E19="",F19="NO",WEEKDAY($D$17,2)&gt;5),"",MAX(0,IF(F19="SI",
(G19*1440)-CHOOSE($C19,$H$3,$H$4)
)))</f>
        <v/>
      </c>
      <c r="J19" s="29" t="str">
        <f t="shared" ref="J19:J33" si="2">IF(OR(K19="VACACIONES",K19="FALTA",K19="LICENCIA",D19="",E19="",WEEKDAY($D$17,2)&lt;=5),"",IF(WEEKDAY($D$17,2)&gt;5,(G19*1440)))</f>
        <v/>
      </c>
      <c r="K19" s="27" t="s">
        <v>143</v>
      </c>
      <c r="L19" s="36"/>
      <c r="M19" s="239"/>
      <c r="N19" s="238"/>
      <c r="O19" s="238"/>
      <c r="P19" s="28" t="str">
        <f>IF(OR(T19="VACACIONES",T19="FALTA",T19="LICENCIA",M19="",N19=""),"",IF(WEEKDAY($M$17,2)&gt;5,N19-M19,IF(O19="NO",MIN(N19,CHOOSE($C19,$C$3,$C$4))-MAX(M19,CHOOSE($C19,$B$3,$B$4))-CHOOSE($C19,$F$3,$F$4),N19-M19-CHOOSE($C19,$F$3,$F$4))))</f>
        <v/>
      </c>
      <c r="Q19" s="29" t="str">
        <f t="shared" ref="Q19:Q33" si="3">IF(OR(T19="VACACIONES",T19="FALTA",T19="LICENCIA",M19="",N19="",WEEKDAY($M$17,2)&gt;5),"",
MAX(0,CHOOSE($C19,$H$3,$H$4)-(P19*1440))
)</f>
        <v/>
      </c>
      <c r="R19" s="29" t="str">
        <f t="shared" ref="R19:R33" si="4">IF(OR(T19="VACACIONES",T19="FALTA",T19="LICENCIA",M19="",N19="",O19="NO",WEEKDAY($M$17,2)&gt;5),"",MAX(0,IF(O19="SI",
(P19*1440)-CHOOSE($C19,$H$3,$H$4)
)))</f>
        <v/>
      </c>
      <c r="S19" s="29" t="str">
        <f>IF(OR(T19="VACACIONES",T19="FALTA",T19="LICENCIA",M19="",N19="",WEEKDAY($M$17,2)&lt;=5),"",IF(WEEKDAY($M$17,2)&gt;5,(P19*1440)))</f>
        <v/>
      </c>
      <c r="T19" s="27" t="s">
        <v>143</v>
      </c>
      <c r="U19" s="36"/>
      <c r="V19" s="239"/>
      <c r="W19" s="238"/>
      <c r="X19" s="238"/>
      <c r="Y19" s="28" t="str">
        <f>IF(OR(AC19="VACACIONES",AC19="FALTA",AC19="LICENCIA",V19="",W19=""),"",IF(WEEKDAY($V$17,2)&gt;5,W19-V19,IF(X19="NO",MIN(W19,CHOOSE($C19,$C$3,$C$4))-MAX(V19,CHOOSE($C19,$B$3,$B$4))-CHOOSE($C19,$F$3,$F$4),W19-V19-CHOOSE($C19,$F$3,$F$4))))</f>
        <v/>
      </c>
      <c r="Z19" s="29" t="str">
        <f t="shared" ref="Z19:Z33" si="5">IF(OR(AC19="VACACIONES",AC19="FALTA",AC19="LICENCIA",V19="",W19="",WEEKDAY($V$17,2)&gt;5),"",
MAX(0,CHOOSE($C19,$H$3,$H$4)-(Y19*1440))
)</f>
        <v/>
      </c>
      <c r="AA19" s="29" t="str">
        <f t="shared" ref="AA19:AA33" si="6">IF(OR(AC19="VACACIONES",AC19="FALTA",AC19="LICENCIA",V19="",W19="",X19="NO",WEEKDAY($V$17,2)&gt;5),"",MAX(0,IF(X19="SI",
(Y19*1440)-CHOOSE($C19,$H$3,$H$4)
)))</f>
        <v/>
      </c>
      <c r="AB19" s="29" t="str">
        <f>IF(OR(AC19="VACACIONES",AC19="FALTA",AC19="LICENCIA",V19="",W19="",WEEKDAY($V$17,2)&lt;=5),"",IF(WEEKDAY($V$17,2)&gt;5,(Y19*1440)))</f>
        <v/>
      </c>
      <c r="AC19" s="27" t="s">
        <v>143</v>
      </c>
      <c r="AD19" s="36"/>
      <c r="AE19" s="239"/>
      <c r="AF19" s="238"/>
      <c r="AG19" s="238"/>
      <c r="AH19" s="28" t="str">
        <f>IF(OR(AL19="VACACIONES",AL19="FALTA",AL19="LICENCIA",AE19="",AF19=""),"",IF(WEEKDAY($AE$17,2)&gt;5,AF19-AE19,IF(AG19="NO",MIN(AF19,CHOOSE($C19,$C$3,$C$4))-MAX(AE19,CHOOSE($C19,$B$3,$B$4))-CHOOSE($C19,$F$3,$F$4),AF19-AE19-CHOOSE($C19,$F$3,$F$4))))</f>
        <v/>
      </c>
      <c r="AI19" s="29" t="str">
        <f t="shared" ref="AI19:AI33" si="7">IF(OR(AL19="VACACIONES",AL19="FALTA",AL19="LICENCIA",AE19="",AF19="",WEEKDAY($AE$17,2)&gt;5),"",
MAX(0,CHOOSE($C19,$H$3,$H$4)-(AH19*1440))
)</f>
        <v/>
      </c>
      <c r="AJ19" s="29" t="str">
        <f t="shared" ref="AJ19:AJ33" si="8">IF(OR(AL19="VACACIONES",AL19="FALTA",AL19="LICENCIA",AE19="",AF19="",AG19="NO",WEEKDAY($AE$17,2)&gt;5),"",MAX(0,IF(AG19="SI",
(AH19*1440)-CHOOSE($C19,$H$3,$H$4)
)))</f>
        <v/>
      </c>
      <c r="AK19" s="29" t="str">
        <f>IF(OR(AL19="VACACIONES",AL19="FALTA",AL19="LICENCIA",AE19="",AF19="",WEEKDAY($AE$17,2)&lt;=5),"",IF(WEEKDAY($AE$17,2)&gt;5,(AH19*1440)))</f>
        <v/>
      </c>
      <c r="AL19" s="27" t="s">
        <v>143</v>
      </c>
      <c r="AM19" s="36"/>
      <c r="AN19" s="239"/>
      <c r="AO19" s="238"/>
      <c r="AP19" s="238"/>
      <c r="AQ19" s="28" t="str">
        <f>IF(OR(AU19="VACACIONES",AU19="FALTA",AU19="LICENCIA",AN19="",AO19=""),"",IF(WEEKDAY($AN$17,2)&gt;5,AO19-AN19,IF(AP19="NO",MIN(AO19,CHOOSE($C19,$C$3,$C$4))-MAX(AN19,CHOOSE($C19,$B$3,$B$4))-CHOOSE($C19,$F$3,$F$4),AO19-AN19-CHOOSE($C19,$F$3,$F$4))))</f>
        <v/>
      </c>
      <c r="AR19" s="29" t="str">
        <f t="shared" ref="AR19:AR33" si="9">IF(OR(AU19="VACACIONES",AU19="FALTA",AU19="LICENCIA",AN19="",AO19="",WEEKDAY($AN$17,2)&gt;5),"",
MAX(0,CHOOSE($C19,$H$3,$H$4)-(AQ19*1440))
)</f>
        <v/>
      </c>
      <c r="AS19" s="29" t="str">
        <f t="shared" ref="AS19:AS33" si="10">IF(OR(AU19="VACACIONES",AU19="FALTA",AU19="LICENCIA",AN19="",AO19="",AP19="NO",WEEKDAY($AN$17,2)&gt;5),"",MAX(0,IF(AP19="SI",
(AQ19*1440)-CHOOSE($C19,$H$3,$H$4)
)))</f>
        <v/>
      </c>
      <c r="AT19" s="29" t="str">
        <f>IF(OR(AU19="VACACIONES",AU19="FALTA",AU19="LICENCIA",AN19="",AO19="",WEEKDAY($AN$17,2)&lt;=5),"",IF(WEEKDAY($AN$17,2)&gt;5,(AQ19*1440)))</f>
        <v/>
      </c>
      <c r="AU19" s="27" t="s">
        <v>143</v>
      </c>
      <c r="AV19" s="36"/>
      <c r="AW19" s="239"/>
      <c r="AX19" s="238"/>
      <c r="AY19" s="238"/>
      <c r="AZ19" s="28" t="str">
        <f>IF(OR(BD19="VACACIONES",BD19="FALTA",BD19="LICENCIA",AW19="",AX19=""),"",IF(WEEKDAY($AW$17,2)&gt;5,AX19-AW19,IF(AY19="NO",MIN(AX19,CHOOSE($C19,$C$3,$C$4))-MAX(AW19,CHOOSE($C19,$B$3,$B$4))-CHOOSE($C19,$F$3,$F$4),AX19-AW19-CHOOSE($C19,$F$3,$F$4))))</f>
        <v/>
      </c>
      <c r="BA19" s="29" t="str">
        <f t="shared" ref="BA19:BA33" si="11">IF(OR(BD19="VACACIONES",BD19="FALTA",BD19="LICENCIA",AW19="",AX19="",WEEKDAY($AW$17,2)&gt;5),"",
MAX(0,CHOOSE($C19,$H$3,$H$4)-(AZ19*1440))
)</f>
        <v/>
      </c>
      <c r="BB19" s="29" t="str">
        <f t="shared" ref="BB19:BB33" si="12">IF(OR(BD19="VACACIONES",BD19="FALTA",BD19="LICENCIA",AW19="",AX19="",AY19="NO",WEEKDAY($AW$17,2)&gt;5),"",MAX(0,IF(AY19="SI",
(AZ19*1440)-CHOOSE($C19,$H$3,$H$4)
)))</f>
        <v/>
      </c>
      <c r="BC19" s="29" t="str">
        <f>IF(OR(BD19="VACACIONES",BD19="FALTA",BD19="LICENCIA",AW19="",AX19="",WEEKDAY($AW$17,2)&lt;=5),"",IF(WEEKDAY($AW$17,2)&gt;5,(AZ19*1440)))</f>
        <v/>
      </c>
      <c r="BD19" s="27" t="s">
        <v>143</v>
      </c>
      <c r="BE19" s="36"/>
      <c r="BF19" s="239"/>
      <c r="BG19" s="238"/>
      <c r="BH19" s="238"/>
      <c r="BI19" s="28" t="str">
        <f>IF(OR(BM19="VACACIONES",BM19="FALTA",BM19="LICENCIA",BF19="",BG19=""),"",IF(WEEKDAY($BF$17,2)&gt;5,BG19-BF19,IF(BH19="NO",MIN(BG19,CHOOSE($C19,$C$3,$C$4))-MAX(BF19,CHOOSE($C19,$B$3,$B$4))-CHOOSE($C19,$F$3,$F$4),BG19-BF19-CHOOSE($C19,$F$3,$F$4))))</f>
        <v/>
      </c>
      <c r="BJ19" s="29" t="str">
        <f t="shared" ref="BJ19:BJ33" si="13">IF(OR(BM19="VACACIONES",BM19="FALTA",BM19="LICENCIA",BF19="",BG19="",WEEKDAY($BF$17,2)&gt;5),"",
MAX(0,CHOOSE($C19,$H$3,$H$4)-(BI19*1440))
)</f>
        <v/>
      </c>
      <c r="BK19" s="29" t="str">
        <f t="shared" ref="BK19:BK33" si="14">IF(OR(BM19="VACACIONES",BM19="FALTA",BM19="LICENCIA",BF19="",BG19="",BH19="NO",WEEKDAY($BF$17,2)&gt;5),"",MAX(0,IF(BH19="SI",
(BI19*1440)-CHOOSE($C19,$H$3,$H$4)
)))</f>
        <v/>
      </c>
      <c r="BL19" s="29" t="str">
        <f>IF(OR(BM19="VACACIONES",BM19="FALTA",BM19="LICENCIA",BF19="",BG19="",WEEKDAY($BF$17,2)&lt;=5),"",IF(WEEKDAY($BF$17,2)&gt;5,(BI19*1440)))</f>
        <v/>
      </c>
      <c r="BM19" s="27" t="s">
        <v>143</v>
      </c>
      <c r="BN19" s="36"/>
      <c r="BO19" s="239">
        <v>0.36180555555555555</v>
      </c>
      <c r="BP19" s="238">
        <v>0.78333333333333333</v>
      </c>
      <c r="BQ19" s="238" t="s">
        <v>11</v>
      </c>
      <c r="BR19" s="28">
        <f>IF(OR(BV19="VACACIONES",BV19="FALTA",BV19="LICENCIA",BO19="",BP19=""),"",IF(WEEKDAY($BO$17,2)&gt;5,BP19-BO19,IF(BQ19="NO",MIN(BP19,CHOOSE($C19,$C$3,$C$4))-MAX(BO19,CHOOSE($C19,$B$3,$B$4))-CHOOSE($C19,$F$3,$F$4),BP19-BO19-CHOOSE($C19,$F$3,$F$4))))</f>
        <v>0.37986111111111115</v>
      </c>
      <c r="BS19" s="29">
        <f t="shared" ref="BS19:BS33" si="15">IF(OR(BV19="VACACIONES",BV19="FALTA",BV19="LICENCIA",BO19="",BP19="",WEEKDAY($BO$17,2)&gt;5),"",
MAX(0,CHOOSE($C19,$H$3,$H$4)-(BR19*1440))
)</f>
        <v>0</v>
      </c>
      <c r="BT19" s="29">
        <f t="shared" ref="BT19:BT33" si="16">IF(OR(BV19="VACACIONES",BV19="FALTA",BV19="LICENCIA",BO19="",BP19="",BQ19="NO",WEEKDAY($BO$17,2)&gt;5),"",MAX(0,IF(BQ19="SI",
(BR19*1440)-CHOOSE($C19,$H$3,$H$4)
)))</f>
        <v>6.9999999999998863</v>
      </c>
      <c r="BU19" s="29" t="str">
        <f>IF(OR(BV19="VACACIONES",BV19="FALTA",BV19="LICENCIA",BO19="",BP19="",WEEKDAY($BO$17,2)&lt;=5),"",IF(WEEKDAY($BO$17,2)&gt;5,(BR19*1440)))</f>
        <v/>
      </c>
      <c r="BV19" s="27"/>
      <c r="BW19" s="36"/>
      <c r="BX19" s="239">
        <v>0.36666666666666664</v>
      </c>
      <c r="BY19" s="238">
        <v>0.83333333333333337</v>
      </c>
      <c r="BZ19" s="238" t="s">
        <v>11</v>
      </c>
      <c r="CA19" s="28">
        <f>IF(OR(CE19="VACACIONES",CE19="FALTA",CE19="LICENCIA",BX19="",BY19=""),"",IF(WEEKDAY($BX$17,2)&gt;5,BY19-BX19,IF(BZ19="NO",MIN(BY19,CHOOSE($C19,$C$3,$C$4))-MAX(BX19,CHOOSE($C19,$B$3,$B$4))-CHOOSE($C19,$F$3,$F$4),BY19-BX19-CHOOSE($C19,$F$3,$F$4))))</f>
        <v>0.4250000000000001</v>
      </c>
      <c r="CB19" s="29">
        <f t="shared" ref="CB19:CB33" si="17">IF(OR(CE19="VACACIONES",CE19="FALTA",CE19="LICENCIA",BX19="",BY19="",WEEKDAY($BX$17,2)&gt;5),"",
MAX(0,CHOOSE($C19,$H$3,$H$4)-(CA19*1440))
)</f>
        <v>0</v>
      </c>
      <c r="CC19" s="29">
        <f t="shared" ref="CC19:CC33" si="18">IF(OR(CE19="VACACIONES",CE19="FALTA",CE19="LICENCIA",BX19="",BY19="",BZ19="NO",WEEKDAY($BX$17,2)&gt;5),"",MAX(0,IF(BZ19="SI",
(CA19*1440)-CHOOSE($C19,$H$3,$H$4)
)))</f>
        <v>72</v>
      </c>
      <c r="CD19" s="29" t="str">
        <f>IF(OR(CE19="VACACIONES",CE19="FALTA",CE19="LICENCIA",BX19="",BY19="",WEEKDAY($BX$17,2)&lt;=5),"",IF(WEEKDAY($BX$17,2)&gt;5,(CA19*1440)))</f>
        <v/>
      </c>
      <c r="CE19" s="27"/>
      <c r="CF19" s="36"/>
      <c r="CG19" s="239">
        <v>0.375</v>
      </c>
      <c r="CH19" s="238">
        <v>0.8041666666666667</v>
      </c>
      <c r="CI19" s="238" t="s">
        <v>11</v>
      </c>
      <c r="CJ19" s="28">
        <f>IF(OR(CN19="VACACIONES",CN19="FALTA",CN19="LICENCIA",CG19="",CH19=""),"",IF(WEEKDAY($CG$17,2)&gt;5,CH19-CG19,IF(CI19="NO",MIN(CH19,CHOOSE($C19,$C$3,$C$4))-MAX(CG19,CHOOSE($C19,$B$3,$B$4))-CHOOSE($C19,$F$3,$F$4),CH19-CG19-CHOOSE($C19,$F$3,$F$4))))</f>
        <v>0.38750000000000007</v>
      </c>
      <c r="CK19" s="29">
        <f t="shared" ref="CK19:CK33" si="19">IF(OR(CN19="VACACIONES",CN19="FALTA",CN19="LICENCIA",CG19="",CH19="",WEEKDAY($CG$17,2)&gt;5),"",
MAX(0,CHOOSE($C19,$H$3,$H$4)-(CJ19*1440))
)</f>
        <v>0</v>
      </c>
      <c r="CL19" s="29">
        <f t="shared" ref="CL19:CL33" si="20">IF(OR(CN19="VACACIONES",CN19="FALTA",CN19="LICENCIA",CG19="",CH19="",CI19="NO",WEEKDAY($CG$17,2)&gt;5),"",MAX(0,IF(CI19="SI",
(CJ19*1440)-CHOOSE($C19,$H$3,$H$4)
)))</f>
        <v>18</v>
      </c>
      <c r="CM19" s="29" t="str">
        <f>IF(OR(CN19="VACACIONES",CN19="FALTA",CN19="LICENCIA",CG19="",CH19="",WEEKDAY($CG$17,2)&lt;=5),"",IF(WEEKDAY($CG$17,2)&gt;5,(CJ19*1440)))</f>
        <v/>
      </c>
      <c r="CN19" s="27"/>
      <c r="CO19" s="36"/>
      <c r="CP19" s="239">
        <v>0.3923611111111111</v>
      </c>
      <c r="CQ19" s="238">
        <v>0.8222222222222223</v>
      </c>
      <c r="CR19" s="238" t="s">
        <v>11</v>
      </c>
      <c r="CS19" s="28">
        <f>IF(OR(CW19="VACACIONES",CW19="FALTA",CW19="LICENCIA",CP19="",CQ19=""),"",IF(WEEKDAY($CP$17,2)&gt;5,CQ19-CP19,IF(CR19="NO",MIN(CQ19,CHOOSE($C19,$C$3,$C$4))-MAX(CP19,CHOOSE($C19,$B$3,$B$4))-CHOOSE($C19,$F$3,$F$4),CQ19-CP19-CHOOSE($C19,$F$3,$F$4))))</f>
        <v>0.38819444444444456</v>
      </c>
      <c r="CT19" s="29">
        <f t="shared" ref="CT19:CT33" si="21">IF(OR(CW19="VACACIONES",CW19="FALTA",CW19="LICENCIA",CP19="",CQ19="",WEEKDAY($CP$17,2)&gt;5),"",
MAX(0,CHOOSE($C19,$H$3,$H$4)-(CS19*1440))
)</f>
        <v>0</v>
      </c>
      <c r="CU19" s="29">
        <f t="shared" ref="CU19:CU33" si="22">IF(OR(CW19="VACACIONES",CW19="FALTA",CW19="LICENCIA",CP19="",CQ19="",CR19="NO",WEEKDAY($CP$17,2)&gt;5),"",MAX(0,IF(CR19="SI",
(CS19*1440)-CHOOSE($C19,$H$3,$H$4)
)))</f>
        <v>19.000000000000114</v>
      </c>
      <c r="CV19" s="29" t="str">
        <f>IF(OR(CW19="VACACIONES",CW19="FALTA",CW19="LICENCIA",CP19="",CQ19="",WEEKDAY($CP$17,2)&lt;=5),"",IF(WEEKDAY($CP$17,2)&gt;5,(CS19*1440)))</f>
        <v/>
      </c>
      <c r="CW19" s="27"/>
      <c r="CX19" s="36"/>
      <c r="CY19" s="239">
        <v>0.37361111111111112</v>
      </c>
      <c r="CZ19" s="238">
        <v>0.80902777777777779</v>
      </c>
      <c r="DA19" s="238" t="s">
        <v>11</v>
      </c>
      <c r="DB19" s="28">
        <f>IF(OR(DF19="VACACIONES",DF19="FALTA",DF19="LICENCIA",CY19="",CZ19=""),"",IF(WEEKDAY($CY$17,2)&gt;5,CZ19-CY19,IF(DA19="NO",MIN(CZ19,CHOOSE($C19,$C$3,$C$4))-MAX(CY19,CHOOSE($C19,$B$3,$B$4))-CHOOSE($C19,$F$3,$F$4),CZ19-CY19-CHOOSE($C19,$F$3,$F$4))))</f>
        <v>0.39375000000000004</v>
      </c>
      <c r="DC19" s="29">
        <f t="shared" ref="DC19:DC33" si="23">IF(OR(DF19="VACACIONES",DF19="FALTA",DF19="LICENCIA",CY19="",CZ19="",WEEKDAY($CY$17,2)&gt;5),"",
MAX(0,CHOOSE($C19,$H$3,$H$4)-(DB19*1440))
)</f>
        <v>0</v>
      </c>
      <c r="DD19" s="29">
        <f t="shared" ref="DD19:DD33" si="24">IF(OR(DF19="VACACIONES",DF19="FALTA",DF19="LICENCIA",CY19="",CZ19="",DA19="NO",WEEKDAY($CY$17,2)&gt;5),"",MAX(0,IF(DA19="SI",
(DB19*1440)-CHOOSE($C19,$H$3,$H$4)
)))</f>
        <v>27</v>
      </c>
      <c r="DE19" s="29" t="str">
        <f>IF(OR(DF19="VACACIONES",DF19="FALTA",DF19="LICENCIA",CY19="",CZ19="",WEEKDAY($CY$17,2)&lt;=5),"",IF(WEEKDAY($CY$17,2)&gt;5,(DB19*1440)))</f>
        <v/>
      </c>
      <c r="DF19" s="27"/>
      <c r="DG19" s="36"/>
      <c r="DH19" s="239"/>
      <c r="DI19" s="238"/>
      <c r="DJ19" s="238"/>
      <c r="DK19" s="28" t="str">
        <f>IF(OR(DO19="VACACIONES",DO19="FALTA",DO19="LICENCIA",DH19="",DI19=""),"",IF(WEEKDAY($DH$17,2)&gt;5,DI19-DH19,IF(DJ19="NO",MIN(DI19,CHOOSE($C19,$C$3,$C$4))-MAX(DH19,CHOOSE($C19,$B$3,$B$4))-CHOOSE($C19,$F$3,$F$4),DI19-DH19-CHOOSE($C19,$F$3,$F$4))))</f>
        <v/>
      </c>
      <c r="DL19" s="29" t="str">
        <f t="shared" ref="DL19:DL33" si="25">IF(OR(DO19="VACACIONES",DO19="FALTA",DO19="LICENCIA",DH19="",DI19="",WEEKDAY($DH$17,2)&gt;5),"",
MAX(0,CHOOSE($C19,$H$3,$H$4)-(DK19*1440))
)</f>
        <v/>
      </c>
      <c r="DM19" s="29" t="str">
        <f t="shared" ref="DM19:DM33" si="26">IF(OR(DO19="VACACIONES",DO19="FALTA",DO19="LICENCIA",DH19="",DI19="",DJ19="NO",WEEKDAY($DH$17,2)&gt;5),"",MAX(0,IF(DJ19="SI",
(DK19*1440)-CHOOSE($C19,$H$3,$H$4)
)))</f>
        <v/>
      </c>
      <c r="DN19" s="29" t="str">
        <f>IF(OR(DO19="VACACIONES",DO19="FALTA",DO19="LICENCIA",DH19="",DI19="",WEEKDAY($DH$17,2)&lt;=5),"",IF(WEEKDAY($DH$17,2)&gt;5,(DK19*1440)))</f>
        <v/>
      </c>
      <c r="DO19" s="27"/>
      <c r="DP19" s="36"/>
      <c r="DQ19" s="239"/>
      <c r="DR19" s="238"/>
      <c r="DS19" s="238"/>
      <c r="DT19" s="28" t="str">
        <f>IF(OR(DX19="VACACIONES",DX19="FALTA",DX19="LICENCIA",DQ19="",DR19=""),"",IF(WEEKDAY($DQ$17,2)&gt;5,DR19-DR19,IF(DS19="NO",MIN(DR19,CHOOSE($C19,$C$3,$C$4))-MAX(DQ19,CHOOSE($C19,$B$3,$B$4))-CHOOSE($C19,$F$3,$F$4),DR19-DQ19-CHOOSE($C19,$F$3,$F$4))))</f>
        <v/>
      </c>
      <c r="DU19" s="29" t="str">
        <f t="shared" ref="DU19:DU33" si="27">IF(OR(DX19="VACACIONES",DX19="FALTA",DX19="LICENCIA",DQ19="",DR19="",WEEKDAY($DQ$17,2)&gt;5),"",
MAX(0,CHOOSE($C19,$H$3,$H$4)-(DT19*1440))
)</f>
        <v/>
      </c>
      <c r="DV19" s="29" t="str">
        <f t="shared" ref="DV19:DV33" si="28">IF(OR(DX19="VACACIONES",DX19="FALTA",DX19="LICENCIA",DQ19="",DR19="",DS19="NO",WEEKDAY($DQ$17,2)&gt;5),"",MAX(0,IF(DS19="SI",
(DT19*1440)-CHOOSE($C19,$H$3,$H$4)
)))</f>
        <v/>
      </c>
      <c r="DW19" s="29" t="str">
        <f>IF(OR(DX19="VACACIONES",DX19="FALTA",DX19="LICENCIA",DQ19="",DR19="",WEEKDAY($DQ$17,2)&lt;=5),"",IF(WEEKDAY($DQ$17,2)&gt;5,(DT19*1440)))</f>
        <v/>
      </c>
      <c r="DX19" s="27"/>
      <c r="DY19" s="36"/>
      <c r="DZ19" s="239">
        <v>0.33333333333333331</v>
      </c>
      <c r="EA19" s="238">
        <v>0.78749999999999998</v>
      </c>
      <c r="EB19" s="238" t="s">
        <v>4</v>
      </c>
      <c r="EC19" s="28">
        <f>IF(OR(EG19="VACACIONES",EG19="FALTA",EG19="LICENCIA",DZ19="",EA19=""),"",IF(WEEKDAY($CY$17,2)&gt;5,EA19-DZ19,IF(EB19="NO",MIN(EA19,CHOOSE($C19,$C$3,$C$4))-MAX(DZ19,CHOOSE($C19,$B$3,$B$4))-CHOOSE($C19,$F$3,$F$4),EA19-DZ19-CHOOSE($C19,$F$3,$F$4))))</f>
        <v>0.37500000000000006</v>
      </c>
      <c r="ED19" s="29">
        <f t="shared" ref="ED19:ED33" si="29">IF(OR(EG19="VACACIONES",EG19="FALTA",EG19="LICENCIA",DZ19="",EA19="",WEEKDAY($CY$17,2)&gt;5),"",
MAX(0,CHOOSE($C19,$H$3,$H$4)-(EC19*1440))
)</f>
        <v>0</v>
      </c>
      <c r="EE19" s="29" t="str">
        <f t="shared" ref="EE19:EE33" si="30">IF(OR(EG19="VACACIONES",EG19="FALTA",EG19="LICENCIA",DZ19="",EA19="",EB19="NO",WEEKDAY($CY$17,2)&gt;5),"",MAX(0,IF(EB19="SI",
(EC19*1440)-CHOOSE($C19,$H$3,$H$4)
)))</f>
        <v/>
      </c>
      <c r="EF19" s="29" t="str">
        <f>IF(OR(EG19="VACACIONES",EG19="FALTA",EG19="LICENCIA",DZ19="",EA19="",WEEKDAY($CY$17,2)&lt;=5),"",IF(WEEKDAY($CY$17,2)&gt;5,(EC19*1440)))</f>
        <v/>
      </c>
      <c r="EG19" s="27"/>
      <c r="EI19" s="36"/>
      <c r="EK19" s="29">
        <f t="shared" ref="EK19:EK33" si="31">SUM(H19,Q19,Z19,AI19,AR19,BA19,BJ19,BS19,CB19,CK19,CT19,DC19,DL19,DU19,ED19)</f>
        <v>0</v>
      </c>
      <c r="EL19" s="29">
        <v>0</v>
      </c>
      <c r="EM19" s="54">
        <f>COUNTIF(I19,"&gt;0")+COUNTIF(J19,"&gt;0")+COUNTIF(R19,"&gt;0")+COUNTIF(S19,"&gt;0")++COUNTIF(AA19,"&gt;0")+COUNTIF(AB19,"&gt;0")+COUNTIF(AJ19,"&gt;0")+COUNTIF(AK19,"&gt;0")+COUNTIF(AS19,"&gt;0")+COUNTIF(AT19,"&gt;0")+COUNTIF(BB19,"&gt;0")+COUNTIF(BC19,"&gt;0")+COUNTIF(BK19,"&gt;0")+COUNTIF(BL19,"&gt;0")+COUNTIF(BT19,"&gt;0")+COUNTIF(BU19,"&gt;0")+COUNTIF(CC19,"&gt;0")+COUNTIF(CD19,"&gt;0")+COUNTIF(CL19,"&gt;0")+COUNTIF(CM19,"&gt;0")+COUNTIF(CU19,"&gt;0")+COUNTIF(CV19,"&gt;0")+COUNTIF(DD19,"&gt;0")+COUNTIF(DE19,"&gt;0")+COUNTIF(DM19,"&gt;0")+COUNTIF(DN19,"&gt;0")+COUNTIF(DV19,"&gt;0")+COUNTIF(DW19,"&gt;0")+COUNTIF(EE19,"&gt;0")+COUNTIF(EF19,"&gt;0")</f>
        <v>5</v>
      </c>
      <c r="EN19" s="27">
        <f t="shared" ref="EN19:EN33" si="32">COUNTIF(D19:EG19,"FALTA")</f>
        <v>7</v>
      </c>
      <c r="EO19" s="54">
        <f t="shared" ref="EO19:EO33" si="33">15-EN19</f>
        <v>8</v>
      </c>
      <c r="EP19" s="27">
        <f>COUNTIF(D19:EG19,"TRABAJO SABADO")</f>
        <v>0</v>
      </c>
      <c r="EQ19" s="27">
        <f>COUNTIF(D19:EG19,"TRABAJO DOMINGO")+COUNTIF(D19:EG19,"TRABAJO FERIADO")+(COUNTIF(D19:EG19,"TRABAJO 1RO MAYO")*2)+((COUNTIF(D21:EG21,"TRABAJO 1RO MAYO EN SU DIA LIBRE")*2)*2)</f>
        <v>0</v>
      </c>
      <c r="ER19" s="27">
        <f>COUNTIF(D19:EG19,"VACACIONES")</f>
        <v>0</v>
      </c>
      <c r="ES19" s="27">
        <f>COUNTIF(D19:EG19,"LICENCIA")</f>
        <v>0</v>
      </c>
    </row>
    <row r="20" spans="1:149" s="30" customFormat="1" ht="15" customHeight="1" x14ac:dyDescent="0.25">
      <c r="A20" s="37">
        <f>A19+1</f>
        <v>2</v>
      </c>
      <c r="B20" s="33" t="str">
        <f>'1RA QUINCENA JUNIO 26'!B11</f>
        <v>CISNEROS SUMA, ANDRES JUAN</v>
      </c>
      <c r="C20" s="38">
        <v>1</v>
      </c>
      <c r="D20" s="239">
        <v>0.30763888888888891</v>
      </c>
      <c r="E20" s="238">
        <v>0.75</v>
      </c>
      <c r="F20" s="238" t="s">
        <v>4</v>
      </c>
      <c r="G20" s="28">
        <f t="shared" ref="G20:G33" si="34">IF(OR(K20="VACACIONES",K20="FALTA",K20="LICENCIA",D20="",E20=""),"",IF(WEEKDAY($D$17,2)&gt;5,E20-D20,IF(F20="NO",MIN(E20,CHOOSE($C20,$C$3,$C$4))-MAX(D20,CHOOSE($C20,$B$3,$B$4))-CHOOSE($C20,$F$3,$F$4),E20-D20-CHOOSE($C20,$F$3,$F$4))))</f>
        <v>0.40069444444444446</v>
      </c>
      <c r="H20" s="29">
        <f t="shared" si="0"/>
        <v>0</v>
      </c>
      <c r="I20" s="29" t="str">
        <f t="shared" si="1"/>
        <v/>
      </c>
      <c r="J20" s="29" t="str">
        <f t="shared" si="2"/>
        <v/>
      </c>
      <c r="K20" s="27"/>
      <c r="L20" s="36"/>
      <c r="M20" s="239">
        <v>0.30763888888888891</v>
      </c>
      <c r="N20" s="238">
        <v>0.75</v>
      </c>
      <c r="O20" s="238" t="s">
        <v>4</v>
      </c>
      <c r="P20" s="28">
        <f t="shared" ref="P20:P33" si="35">IF(OR(T20="VACACIONES",T20="FALTA",T20="LICENCIA",M20="",N20=""),"",IF(WEEKDAY($M$17,2)&gt;5,N20-M20,IF(O20="NO",MIN(N20,CHOOSE($C20,$C$3,$C$4))-MAX(M20,CHOOSE($C20,$B$3,$B$4))-CHOOSE($C20,$F$3,$F$4),N20-M20-CHOOSE($C20,$F$3,$F$4))))</f>
        <v>0.40069444444444446</v>
      </c>
      <c r="Q20" s="29">
        <f t="shared" si="3"/>
        <v>0</v>
      </c>
      <c r="R20" s="29" t="str">
        <f t="shared" si="4"/>
        <v/>
      </c>
      <c r="S20" s="29" t="str">
        <f t="shared" ref="S20:S33" si="36">IF(OR(T20="VACACIONES",T20="FALTA",T20="LICENCIA",M20="",N20="",WEEKDAY($M$17,2)&lt;=5),"",IF(WEEKDAY($M$17,2)&gt;5,(P20*1440)))</f>
        <v/>
      </c>
      <c r="T20" s="27"/>
      <c r="U20" s="36"/>
      <c r="V20" s="239">
        <v>0.30763888888888891</v>
      </c>
      <c r="W20" s="238">
        <v>0.75</v>
      </c>
      <c r="X20" s="238" t="s">
        <v>4</v>
      </c>
      <c r="Y20" s="28">
        <f t="shared" ref="Y20:Y33" si="37">IF(OR(AC20="VACACIONES",AC20="FALTA",AC20="LICENCIA",V20="",W20=""),"",IF(WEEKDAY($V$17,2)&gt;5,W20-V20,IF(X20="NO",MIN(W20,CHOOSE($C20,$C$3,$C$4))-MAX(V20,CHOOSE($C20,$B$3,$B$4))-CHOOSE($C20,$F$3,$F$4),W20-V20-CHOOSE($C20,$F$3,$F$4))))</f>
        <v>0.40069444444444446</v>
      </c>
      <c r="Z20" s="29">
        <f t="shared" si="5"/>
        <v>0</v>
      </c>
      <c r="AA20" s="29" t="str">
        <f t="shared" si="6"/>
        <v/>
      </c>
      <c r="AB20" s="29" t="str">
        <f t="shared" ref="AB20:AB33" si="38">IF(OR(AC20="VACACIONES",AC20="FALTA",AC20="LICENCIA",V20="",W20="",WEEKDAY($V$17,2)&lt;=5),"",IF(WEEKDAY($V$17,2)&gt;5,(Y20*1440)))</f>
        <v/>
      </c>
      <c r="AC20" s="27"/>
      <c r="AD20" s="36"/>
      <c r="AE20" s="239">
        <v>0.30763888888888891</v>
      </c>
      <c r="AF20" s="238">
        <v>0.75</v>
      </c>
      <c r="AG20" s="238" t="s">
        <v>4</v>
      </c>
      <c r="AH20" s="28">
        <f t="shared" ref="AH20:AH33" si="39">IF(OR(AL20="VACACIONES",AL20="FALTA",AL20="LICENCIA",AE20="",AF20=""),"",IF(WEEKDAY($AE$17,2)&gt;5,AF20-AE20,IF(AG20="NO",MIN(AF20,CHOOSE($C20,$C$3,$C$4))-MAX(AE20,CHOOSE($C20,$B$3,$B$4))-CHOOSE($C20,$F$3,$F$4),AF20-AE20-CHOOSE($C20,$F$3,$F$4))))</f>
        <v>0.40069444444444446</v>
      </c>
      <c r="AI20" s="29">
        <f t="shared" si="7"/>
        <v>0</v>
      </c>
      <c r="AJ20" s="29" t="str">
        <f t="shared" si="8"/>
        <v/>
      </c>
      <c r="AK20" s="29" t="str">
        <f t="shared" ref="AK20:AK33" si="40">IF(OR(AL20="VACACIONES",AL20="FALTA",AL20="LICENCIA",AE20="",AF20="",WEEKDAY($AE$17,2)&lt;=5),"",IF(WEEKDAY($AE$17,2)&gt;5,(AH20*1440)))</f>
        <v/>
      </c>
      <c r="AL20" s="27"/>
      <c r="AM20" s="36"/>
      <c r="AN20" s="239">
        <v>0.30763888888888891</v>
      </c>
      <c r="AO20" s="238">
        <v>0.75</v>
      </c>
      <c r="AP20" s="238" t="s">
        <v>4</v>
      </c>
      <c r="AQ20" s="28">
        <f t="shared" ref="AQ20:AQ33" si="41">IF(OR(AU20="VACACIONES",AU20="FALTA",AU20="LICENCIA",AN20="",AO20=""),"",IF(WEEKDAY($AN$17,2)&gt;5,AO20-AN20,IF(AP20="NO",MIN(AO20,CHOOSE($C20,$C$3,$C$4))-MAX(AN20,CHOOSE($C20,$B$3,$B$4))-CHOOSE($C20,$F$3,$F$4),AO20-AN20-CHOOSE($C20,$F$3,$F$4))))</f>
        <v>0.40069444444444446</v>
      </c>
      <c r="AR20" s="29">
        <f t="shared" si="9"/>
        <v>0</v>
      </c>
      <c r="AS20" s="29" t="str">
        <f t="shared" si="10"/>
        <v/>
      </c>
      <c r="AT20" s="29" t="str">
        <f t="shared" ref="AT20:AT33" si="42">IF(OR(AU20="VACACIONES",AU20="FALTA",AU20="LICENCIA",AN20="",AO20="",WEEKDAY($AN$17,2)&lt;=5),"",IF(WEEKDAY($AN$17,2)&gt;5,(AQ20*1440)))</f>
        <v/>
      </c>
      <c r="AU20" s="27"/>
      <c r="AV20" s="36"/>
      <c r="AW20" s="239"/>
      <c r="AX20" s="238"/>
      <c r="AY20" s="238"/>
      <c r="AZ20" s="28" t="str">
        <f t="shared" ref="AZ20:AZ33" si="43">IF(OR(BD20="VACACIONES",BD20="FALTA",BD20="LICENCIA",AW20="",AX20=""),"",IF(WEEKDAY($AW$17,2)&gt;5,AX20-AW20,IF(AY20="NO",MIN(AX20,CHOOSE($C20,$C$3,$C$4))-MAX(AW20,CHOOSE($C20,$B$3,$B$4))-CHOOSE($C20,$F$3,$F$4),AX20-AW20-CHOOSE($C20,$F$3,$F$4))))</f>
        <v/>
      </c>
      <c r="BA20" s="29" t="str">
        <f t="shared" si="11"/>
        <v/>
      </c>
      <c r="BB20" s="29" t="str">
        <f t="shared" si="12"/>
        <v/>
      </c>
      <c r="BC20" s="29" t="str">
        <f t="shared" ref="BC20:BC33" si="44">IF(OR(BD20="VACACIONES",BD20="FALTA",BD20="LICENCIA",AW20="",AX20="",WEEKDAY($AW$17,2)&lt;=5),"",IF(WEEKDAY($AW$17,2)&gt;5,(AZ20*1440)))</f>
        <v/>
      </c>
      <c r="BD20" s="27"/>
      <c r="BE20" s="36"/>
      <c r="BF20" s="239"/>
      <c r="BG20" s="238"/>
      <c r="BH20" s="238"/>
      <c r="BI20" s="28" t="str">
        <f t="shared" ref="BI20:BI33" si="45">IF(OR(BM20="VACACIONES",BM20="FALTA",BM20="LICENCIA",BF20="",BG20=""),"",IF(WEEKDAY($BF$17,2)&gt;5,BG20-BF20,IF(BH20="NO",MIN(BG20,CHOOSE($C20,$C$3,$C$4))-MAX(BF20,CHOOSE($C20,$B$3,$B$4))-CHOOSE($C20,$F$3,$F$4),BG20-BF20-CHOOSE($C20,$F$3,$F$4))))</f>
        <v/>
      </c>
      <c r="BJ20" s="29" t="str">
        <f t="shared" si="13"/>
        <v/>
      </c>
      <c r="BK20" s="29" t="str">
        <f t="shared" si="14"/>
        <v/>
      </c>
      <c r="BL20" s="29" t="str">
        <f t="shared" ref="BL20:BL33" si="46">IF(OR(BM20="VACACIONES",BM20="FALTA",BM20="LICENCIA",BF20="",BG20="",WEEKDAY($BF$17,2)&lt;=5),"",IF(WEEKDAY($BF$17,2)&gt;5,(BI20*1440)))</f>
        <v/>
      </c>
      <c r="BM20" s="27"/>
      <c r="BN20" s="36"/>
      <c r="BO20" s="239">
        <v>0.30763888888888891</v>
      </c>
      <c r="BP20" s="238">
        <v>0.75</v>
      </c>
      <c r="BQ20" s="238" t="s">
        <v>4</v>
      </c>
      <c r="BR20" s="28">
        <f t="shared" ref="BR20:BR33" si="47">IF(OR(BV20="VACACIONES",BV20="FALTA",BV20="LICENCIA",BO20="",BP20=""),"",IF(WEEKDAY($BO$17,2)&gt;5,BP20-BO20,IF(BQ20="NO",MIN(BP20,CHOOSE($C20,$C$3,$C$4))-MAX(BO20,CHOOSE($C20,$B$3,$B$4))-CHOOSE($C20,$F$3,$F$4),BP20-BO20-CHOOSE($C20,$F$3,$F$4))))</f>
        <v>0.40069444444444446</v>
      </c>
      <c r="BS20" s="29">
        <f t="shared" si="15"/>
        <v>0</v>
      </c>
      <c r="BT20" s="29" t="str">
        <f t="shared" si="16"/>
        <v/>
      </c>
      <c r="BU20" s="29" t="str">
        <f t="shared" ref="BU20:BU33" si="48">IF(OR(BV20="VACACIONES",BV20="FALTA",BV20="LICENCIA",BO20="",BP20="",WEEKDAY($BO$17,2)&lt;=5),"",IF(WEEKDAY($BO$17,2)&gt;5,(BR20*1440)))</f>
        <v/>
      </c>
      <c r="BV20" s="27"/>
      <c r="BW20" s="36"/>
      <c r="BX20" s="239">
        <v>0.30763888888888891</v>
      </c>
      <c r="BY20" s="238">
        <v>0.75</v>
      </c>
      <c r="BZ20" s="238" t="s">
        <v>4</v>
      </c>
      <c r="CA20" s="28">
        <f t="shared" ref="CA20:CA33" si="49">IF(OR(CE20="VACACIONES",CE20="FALTA",CE20="LICENCIA",BX20="",BY20=""),"",IF(WEEKDAY($BX$17,2)&gt;5,BY20-BX20,IF(BZ20="NO",MIN(BY20,CHOOSE($C20,$C$3,$C$4))-MAX(BX20,CHOOSE($C20,$B$3,$B$4))-CHOOSE($C20,$F$3,$F$4),BY20-BX20-CHOOSE($C20,$F$3,$F$4))))</f>
        <v>0.40069444444444446</v>
      </c>
      <c r="CB20" s="29">
        <f t="shared" si="17"/>
        <v>0</v>
      </c>
      <c r="CC20" s="29" t="str">
        <f t="shared" si="18"/>
        <v/>
      </c>
      <c r="CD20" s="29" t="str">
        <f t="shared" ref="CD20:CD33" si="50">IF(OR(CE20="VACACIONES",CE20="FALTA",CE20="LICENCIA",BX20="",BY20="",WEEKDAY($BX$17,2)&lt;=5),"",IF(WEEKDAY($BX$17,2)&gt;5,(CA20*1440)))</f>
        <v/>
      </c>
      <c r="CE20" s="27"/>
      <c r="CF20" s="36"/>
      <c r="CG20" s="239">
        <v>0.30763888888888891</v>
      </c>
      <c r="CH20" s="238">
        <v>0.75</v>
      </c>
      <c r="CI20" s="238" t="s">
        <v>4</v>
      </c>
      <c r="CJ20" s="28">
        <f t="shared" ref="CJ20:CJ33" si="51">IF(OR(CN20="VACACIONES",CN20="FALTA",CN20="LICENCIA",CG20="",CH20=""),"",IF(WEEKDAY($CG$17,2)&gt;5,CH20-CG20,IF(CI20="NO",MIN(CH20,CHOOSE($C20,$C$3,$C$4))-MAX(CG20,CHOOSE($C20,$B$3,$B$4))-CHOOSE($C20,$F$3,$F$4),CH20-CG20-CHOOSE($C20,$F$3,$F$4))))</f>
        <v>0.40069444444444446</v>
      </c>
      <c r="CK20" s="29">
        <f t="shared" si="19"/>
        <v>0</v>
      </c>
      <c r="CL20" s="29" t="str">
        <f t="shared" si="20"/>
        <v/>
      </c>
      <c r="CM20" s="29" t="str">
        <f t="shared" ref="CM20:CM33" si="52">IF(OR(CN20="VACACIONES",CN20="FALTA",CN20="LICENCIA",CG20="",CH20="",WEEKDAY($CG$17,2)&lt;=5),"",IF(WEEKDAY($CG$17,2)&gt;5,(CJ20*1440)))</f>
        <v/>
      </c>
      <c r="CN20" s="27"/>
      <c r="CO20" s="36"/>
      <c r="CP20" s="239">
        <v>0.30763888888888891</v>
      </c>
      <c r="CQ20" s="238">
        <v>0.75</v>
      </c>
      <c r="CR20" s="238" t="s">
        <v>4</v>
      </c>
      <c r="CS20" s="28">
        <f t="shared" ref="CS20:CS33" si="53">IF(OR(CW20="VACACIONES",CW20="FALTA",CW20="LICENCIA",CP20="",CQ20=""),"",IF(WEEKDAY($CP$17,2)&gt;5,CQ20-CP20,IF(CR20="NO",MIN(CQ20,CHOOSE($C20,$C$3,$C$4))-MAX(CP20,CHOOSE($C20,$B$3,$B$4))-CHOOSE($C20,$F$3,$F$4),CQ20-CP20-CHOOSE($C20,$F$3,$F$4))))</f>
        <v>0.40069444444444446</v>
      </c>
      <c r="CT20" s="29">
        <f t="shared" si="21"/>
        <v>0</v>
      </c>
      <c r="CU20" s="29" t="str">
        <f t="shared" si="22"/>
        <v/>
      </c>
      <c r="CV20" s="29" t="str">
        <f t="shared" ref="CV20:CV33" si="54">IF(OR(CW20="VACACIONES",CW20="FALTA",CW20="LICENCIA",CP20="",CQ20="",WEEKDAY($CP$17,2)&lt;=5),"",IF(WEEKDAY($CP$17,2)&gt;5,(CS20*1440)))</f>
        <v/>
      </c>
      <c r="CW20" s="27"/>
      <c r="CX20" s="36"/>
      <c r="CY20" s="239">
        <v>0.30763888888888891</v>
      </c>
      <c r="CZ20" s="238">
        <v>0.75</v>
      </c>
      <c r="DA20" s="238" t="s">
        <v>4</v>
      </c>
      <c r="DB20" s="28">
        <f t="shared" ref="DB20:DB33" si="55">IF(OR(DF20="VACACIONES",DF20="FALTA",DF20="LICENCIA",CY20="",CZ20=""),"",IF(WEEKDAY($CY$17,2)&gt;5,CZ20-CY20,IF(DA20="NO",MIN(CZ20,CHOOSE($C20,$C$3,$C$4))-MAX(CY20,CHOOSE($C20,$B$3,$B$4))-CHOOSE($C20,$F$3,$F$4),CZ20-CY20-CHOOSE($C20,$F$3,$F$4))))</f>
        <v>0.40069444444444446</v>
      </c>
      <c r="DC20" s="29">
        <f t="shared" si="23"/>
        <v>0</v>
      </c>
      <c r="DD20" s="29" t="str">
        <f t="shared" si="24"/>
        <v/>
      </c>
      <c r="DE20" s="29" t="str">
        <f t="shared" ref="DE20:DE33" si="56">IF(OR(DF20="VACACIONES",DF20="FALTA",DF20="LICENCIA",CY20="",CZ20="",WEEKDAY($CY$17,2)&lt;=5),"",IF(WEEKDAY($CY$17,2)&gt;5,(DB20*1440)))</f>
        <v/>
      </c>
      <c r="DF20" s="27"/>
      <c r="DG20" s="36"/>
      <c r="DH20" s="239"/>
      <c r="DI20" s="238"/>
      <c r="DJ20" s="238"/>
      <c r="DK20" s="28" t="str">
        <f t="shared" ref="DK20:DK33" si="57">IF(OR(DO20="VACACIONES",DO20="FALTA",DO20="LICENCIA",DH20="",DI20=""),"",IF(WEEKDAY($DH$17,2)&gt;5,DI20-DH20,IF(DJ20="NO",MIN(DI20,CHOOSE($C20,$C$3,$C$4))-MAX(DH20,CHOOSE($C20,$B$3,$B$4))-CHOOSE($C20,$F$3,$F$4),DI20-DH20-CHOOSE($C20,$F$3,$F$4))))</f>
        <v/>
      </c>
      <c r="DL20" s="29" t="str">
        <f t="shared" si="25"/>
        <v/>
      </c>
      <c r="DM20" s="29" t="str">
        <f t="shared" si="26"/>
        <v/>
      </c>
      <c r="DN20" s="29" t="str">
        <f t="shared" ref="DN20:DN33" si="58">IF(OR(DO20="VACACIONES",DO20="FALTA",DO20="LICENCIA",DH20="",DI20="",WEEKDAY($DH$17,2)&lt;=5),"",IF(WEEKDAY($DH$17,2)&gt;5,(DK20*1440)))</f>
        <v/>
      </c>
      <c r="DO20" s="27"/>
      <c r="DP20" s="36"/>
      <c r="DQ20" s="239"/>
      <c r="DR20" s="238"/>
      <c r="DS20" s="238"/>
      <c r="DT20" s="28" t="str">
        <f t="shared" ref="DT20:DT33" si="59">IF(OR(DX20="VACACIONES",DX20="FALTA",DX20="LICENCIA",DQ20="",DR20=""),"",IF(WEEKDAY($DQ$17,2)&gt;5,DR20-DR20,IF(DS20="NO",MIN(DR20,CHOOSE($C20,$C$3,$C$4))-MAX(DQ20,CHOOSE($C20,$B$3,$B$4))-CHOOSE($C20,$F$3,$F$4),DR20-DQ20-CHOOSE($C20,$F$3,$F$4))))</f>
        <v/>
      </c>
      <c r="DU20" s="29" t="str">
        <f t="shared" si="27"/>
        <v/>
      </c>
      <c r="DV20" s="29" t="str">
        <f t="shared" si="28"/>
        <v/>
      </c>
      <c r="DW20" s="29" t="str">
        <f t="shared" ref="DW20:DW33" si="60">IF(OR(DX20="VACACIONES",DX20="FALTA",DX20="LICENCIA",DQ20="",DR20="",WEEKDAY($DQ$17,2)&lt;=5),"",IF(WEEKDAY($DQ$17,2)&gt;5,(DT20*1440)))</f>
        <v/>
      </c>
      <c r="DX20" s="27"/>
      <c r="DY20" s="36"/>
      <c r="DZ20" s="239">
        <v>0.34930555555555554</v>
      </c>
      <c r="EA20" s="238">
        <v>0.75</v>
      </c>
      <c r="EB20" s="238" t="s">
        <v>4</v>
      </c>
      <c r="EC20" s="28">
        <f t="shared" ref="EC20:EC33" si="61">IF(OR(EG20="VACACIONES",EG20="FALTA",EG20="LICENCIA",DZ20="",EA20=""),"",IF(WEEKDAY($CY$17,2)&gt;5,EA20-DZ20,IF(EB20="NO",MIN(EA20,CHOOSE($C20,$C$3,$C$4))-MAX(DZ20,CHOOSE($C20,$B$3,$B$4))-CHOOSE($C20,$F$3,$F$4),EA20-DZ20-CHOOSE($C20,$F$3,$F$4))))</f>
        <v>0.35902777777777783</v>
      </c>
      <c r="ED20" s="29">
        <f t="shared" si="29"/>
        <v>59.999999999999886</v>
      </c>
      <c r="EE20" s="29" t="str">
        <f t="shared" si="30"/>
        <v/>
      </c>
      <c r="EF20" s="29" t="str">
        <f t="shared" ref="EF20:EF33" si="62">IF(OR(EG20="VACACIONES",EG20="FALTA",EG20="LICENCIA",DZ20="",EA20="",WEEKDAY($CY$17,2)&lt;=5),"",IF(WEEKDAY($CY$17,2)&gt;5,(EC20*1440)))</f>
        <v/>
      </c>
      <c r="EG20" s="27"/>
      <c r="EI20" s="36"/>
      <c r="EK20" s="29">
        <f t="shared" si="31"/>
        <v>59.999999999999886</v>
      </c>
      <c r="EL20" s="29">
        <f t="shared" ref="EL20:EL33" si="63">SUM(I20,J20,R20,S20,AA20,AB20,AJ20,AK20,AS20,AT20,BB20,BC20,BK20,BL20,BT20,BU20,CC20,CD20,CL20,CM20,CU20,CV20,DD20,DE20,DM20,DN20,DV20,DW20,EE20,EF20)</f>
        <v>0</v>
      </c>
      <c r="EM20" s="54">
        <f t="shared" ref="EM20:EM33" si="64">COUNTIF(I20,"&gt;0")+COUNTIF(J20,"&gt;0")+COUNTIF(R20,"&gt;0")+COUNTIF(S20,"&gt;0")++COUNTIF(AA20,"&gt;0")+COUNTIF(AB20,"&gt;0")+COUNTIF(AJ20,"&gt;0")+COUNTIF(AK20,"&gt;0")+COUNTIF(AS20,"&gt;0")+COUNTIF(AT20,"&gt;0")+COUNTIF(BB20,"&gt;0")+COUNTIF(BC20,"&gt;0")+COUNTIF(BK20,"&gt;0")+COUNTIF(BL20,"&gt;0")+COUNTIF(BT20,"&gt;0")+COUNTIF(BU20,"&gt;0")+COUNTIF(CC20,"&gt;0")+COUNTIF(CD20,"&gt;0")+COUNTIF(CL20,"&gt;0")+COUNTIF(CM20,"&gt;0")+COUNTIF(CU20,"&gt;0")+COUNTIF(CV20,"&gt;0")+COUNTIF(DD20,"&gt;0")+COUNTIF(DE20,"&gt;0")+COUNTIF(DM20,"&gt;0")+COUNTIF(DN20,"&gt;0")+COUNTIF(DV20,"&gt;0")+COUNTIF(DW20,"&gt;0")+COUNTIF(EE20,"&gt;0")+COUNTIF(EF20,"&gt;0")</f>
        <v>0</v>
      </c>
      <c r="EN20" s="27">
        <f t="shared" si="32"/>
        <v>0</v>
      </c>
      <c r="EO20" s="54">
        <f t="shared" si="33"/>
        <v>15</v>
      </c>
      <c r="EP20" s="27">
        <f t="shared" ref="EP20:EP33" si="65">COUNTIF(D20:EG20,"TRABAJO SABADO")</f>
        <v>0</v>
      </c>
      <c r="EQ20" s="27">
        <f t="shared" ref="EQ20:EQ33" si="66">COUNTIF(D20:EG20,"TRABAJO DOMINGO")+COUNTIF(D20:EG20,"TRABAJO FERIADO")+(COUNTIF(D20:EG20,"TRABAJO 1RO MAYO")*2)+((COUNTIF(D22:EG22,"TRABAJO 1RO MAYO EN SU DIA LIBRE")*2)*2)</f>
        <v>0</v>
      </c>
      <c r="ER20" s="27">
        <f t="shared" ref="ER20:ER33" si="67">COUNTIF(D20:EG20,"VACACIONES")</f>
        <v>0</v>
      </c>
      <c r="ES20" s="27">
        <f t="shared" ref="ES20:ES33" si="68">COUNTIF(D20:EG20,"LICENCIA")</f>
        <v>0</v>
      </c>
    </row>
    <row r="21" spans="1:149" s="30" customFormat="1" ht="15" customHeight="1" x14ac:dyDescent="0.25">
      <c r="A21" s="37">
        <f t="shared" ref="A21:A33" si="69">A20+1</f>
        <v>3</v>
      </c>
      <c r="B21" s="33" t="str">
        <f>'1RA QUINCENA JUNIO 26'!B12</f>
        <v>CISNEROS SUMA, EDGAR</v>
      </c>
      <c r="C21" s="38">
        <v>1</v>
      </c>
      <c r="D21" s="239">
        <v>0.31527777777777777</v>
      </c>
      <c r="E21" s="238">
        <v>0.76180555555555551</v>
      </c>
      <c r="F21" s="238" t="s">
        <v>4</v>
      </c>
      <c r="G21" s="28">
        <f t="shared" si="34"/>
        <v>0.3930555555555556</v>
      </c>
      <c r="H21" s="29">
        <f t="shared" si="0"/>
        <v>10.999999999999886</v>
      </c>
      <c r="I21" s="29" t="str">
        <f t="shared" si="1"/>
        <v/>
      </c>
      <c r="J21" s="29" t="str">
        <f t="shared" si="2"/>
        <v/>
      </c>
      <c r="K21" s="27"/>
      <c r="L21" s="36"/>
      <c r="M21" s="239">
        <v>0.30902777777777779</v>
      </c>
      <c r="N21" s="238">
        <v>0.75972222222222219</v>
      </c>
      <c r="O21" s="238" t="s">
        <v>4</v>
      </c>
      <c r="P21" s="28">
        <f t="shared" si="35"/>
        <v>0.39930555555555558</v>
      </c>
      <c r="Q21" s="29">
        <f t="shared" si="3"/>
        <v>2</v>
      </c>
      <c r="R21" s="29" t="str">
        <f t="shared" si="4"/>
        <v/>
      </c>
      <c r="S21" s="29" t="str">
        <f t="shared" si="36"/>
        <v/>
      </c>
      <c r="T21" s="27"/>
      <c r="U21" s="36"/>
      <c r="V21" s="239">
        <v>0.32361111111111113</v>
      </c>
      <c r="W21" s="238">
        <v>0.76041666666666663</v>
      </c>
      <c r="X21" s="238" t="s">
        <v>4</v>
      </c>
      <c r="Y21" s="28">
        <f t="shared" si="37"/>
        <v>0.38472222222222224</v>
      </c>
      <c r="Z21" s="29">
        <f t="shared" si="5"/>
        <v>23</v>
      </c>
      <c r="AA21" s="29" t="str">
        <f t="shared" si="6"/>
        <v/>
      </c>
      <c r="AB21" s="29" t="str">
        <f t="shared" si="38"/>
        <v/>
      </c>
      <c r="AC21" s="27"/>
      <c r="AD21" s="36"/>
      <c r="AE21" s="239">
        <v>0.31527777777777777</v>
      </c>
      <c r="AF21" s="238">
        <v>0.75694444444444442</v>
      </c>
      <c r="AG21" s="238" t="s">
        <v>4</v>
      </c>
      <c r="AH21" s="28">
        <f t="shared" si="39"/>
        <v>0.3930555555555556</v>
      </c>
      <c r="AI21" s="29">
        <f t="shared" si="7"/>
        <v>10.999999999999886</v>
      </c>
      <c r="AJ21" s="29" t="str">
        <f t="shared" si="8"/>
        <v/>
      </c>
      <c r="AK21" s="29" t="str">
        <f t="shared" si="40"/>
        <v/>
      </c>
      <c r="AL21" s="27"/>
      <c r="AM21" s="36"/>
      <c r="AN21" s="239">
        <v>0.31944444444444448</v>
      </c>
      <c r="AO21" s="238">
        <v>0.76458333333333328</v>
      </c>
      <c r="AP21" s="238" t="s">
        <v>4</v>
      </c>
      <c r="AQ21" s="28">
        <f t="shared" si="41"/>
        <v>0.3888888888888889</v>
      </c>
      <c r="AR21" s="29">
        <f t="shared" si="9"/>
        <v>17</v>
      </c>
      <c r="AS21" s="29" t="str">
        <f t="shared" si="10"/>
        <v/>
      </c>
      <c r="AT21" s="29" t="str">
        <f t="shared" si="42"/>
        <v/>
      </c>
      <c r="AU21" s="27"/>
      <c r="AV21" s="36"/>
      <c r="AW21" s="239">
        <v>0.3125</v>
      </c>
      <c r="AX21" s="238">
        <v>0.54513888888888884</v>
      </c>
      <c r="AY21" s="238"/>
      <c r="AZ21" s="28">
        <f t="shared" si="43"/>
        <v>0.23263888888888884</v>
      </c>
      <c r="BA21" s="29" t="str">
        <f t="shared" si="11"/>
        <v/>
      </c>
      <c r="BB21" s="29" t="str">
        <f t="shared" si="12"/>
        <v/>
      </c>
      <c r="BC21" s="29">
        <f t="shared" si="44"/>
        <v>334.99999999999994</v>
      </c>
      <c r="BD21" s="27" t="s">
        <v>157</v>
      </c>
      <c r="BE21" s="36"/>
      <c r="BF21" s="239"/>
      <c r="BG21" s="238"/>
      <c r="BH21" s="238"/>
      <c r="BI21" s="28" t="str">
        <f t="shared" si="45"/>
        <v/>
      </c>
      <c r="BJ21" s="29" t="str">
        <f t="shared" si="13"/>
        <v/>
      </c>
      <c r="BK21" s="29" t="str">
        <f t="shared" si="14"/>
        <v/>
      </c>
      <c r="BL21" s="29" t="str">
        <f t="shared" si="46"/>
        <v/>
      </c>
      <c r="BM21" s="27"/>
      <c r="BN21" s="36"/>
      <c r="BO21" s="239">
        <v>0.32013888888888886</v>
      </c>
      <c r="BP21" s="238">
        <v>0.69444444444444442</v>
      </c>
      <c r="BQ21" s="238" t="s">
        <v>4</v>
      </c>
      <c r="BR21" s="28">
        <f t="shared" si="47"/>
        <v>0.33263888888888893</v>
      </c>
      <c r="BS21" s="29">
        <f t="shared" si="15"/>
        <v>97.999999999999943</v>
      </c>
      <c r="BT21" s="29" t="str">
        <f t="shared" si="16"/>
        <v/>
      </c>
      <c r="BU21" s="29" t="str">
        <f t="shared" si="48"/>
        <v/>
      </c>
      <c r="BV21" s="27"/>
      <c r="BW21" s="36"/>
      <c r="BX21" s="239">
        <v>0.31666666666666665</v>
      </c>
      <c r="BY21" s="238">
        <v>0.76111111111111107</v>
      </c>
      <c r="BZ21" s="238" t="s">
        <v>4</v>
      </c>
      <c r="CA21" s="28">
        <f t="shared" si="49"/>
        <v>0.39166666666666672</v>
      </c>
      <c r="CB21" s="29">
        <f t="shared" si="17"/>
        <v>12.999999999999886</v>
      </c>
      <c r="CC21" s="29" t="str">
        <f t="shared" si="18"/>
        <v/>
      </c>
      <c r="CD21" s="29" t="str">
        <f t="shared" si="50"/>
        <v/>
      </c>
      <c r="CE21" s="27"/>
      <c r="CF21" s="36"/>
      <c r="CG21" s="239">
        <v>0.3298611111111111</v>
      </c>
      <c r="CH21" s="238">
        <v>0.75902777777777775</v>
      </c>
      <c r="CI21" s="238" t="s">
        <v>4</v>
      </c>
      <c r="CJ21" s="28">
        <f t="shared" si="51"/>
        <v>0.37847222222222227</v>
      </c>
      <c r="CK21" s="29">
        <f t="shared" si="19"/>
        <v>31.999999999999886</v>
      </c>
      <c r="CL21" s="29" t="str">
        <f t="shared" si="20"/>
        <v/>
      </c>
      <c r="CM21" s="29" t="str">
        <f t="shared" si="52"/>
        <v/>
      </c>
      <c r="CN21" s="27"/>
      <c r="CO21" s="36"/>
      <c r="CP21" s="239">
        <v>0.3125</v>
      </c>
      <c r="CQ21" s="238">
        <v>0.76388888888888884</v>
      </c>
      <c r="CR21" s="238" t="s">
        <v>4</v>
      </c>
      <c r="CS21" s="28">
        <f t="shared" si="53"/>
        <v>0.39583333333333337</v>
      </c>
      <c r="CT21" s="29">
        <f t="shared" si="21"/>
        <v>7</v>
      </c>
      <c r="CU21" s="29" t="str">
        <f t="shared" si="22"/>
        <v/>
      </c>
      <c r="CV21" s="29" t="str">
        <f t="shared" si="54"/>
        <v/>
      </c>
      <c r="CW21" s="27"/>
      <c r="CX21" s="36"/>
      <c r="CY21" s="239">
        <v>0.31180555555555556</v>
      </c>
      <c r="CZ21" s="238">
        <v>0.7631944444444444</v>
      </c>
      <c r="DA21" s="238" t="s">
        <v>4</v>
      </c>
      <c r="DB21" s="28">
        <f t="shared" si="55"/>
        <v>0.39652777777777781</v>
      </c>
      <c r="DC21" s="29">
        <f t="shared" si="23"/>
        <v>6</v>
      </c>
      <c r="DD21" s="29" t="str">
        <f t="shared" si="24"/>
        <v/>
      </c>
      <c r="DE21" s="29" t="str">
        <f t="shared" si="56"/>
        <v/>
      </c>
      <c r="DF21" s="27"/>
      <c r="DG21" s="36"/>
      <c r="DH21" s="239">
        <v>0.3125</v>
      </c>
      <c r="DI21" s="238">
        <v>0.54861111111111105</v>
      </c>
      <c r="DJ21" s="238"/>
      <c r="DK21" s="28">
        <f t="shared" si="57"/>
        <v>0.23611111111111105</v>
      </c>
      <c r="DL21" s="29" t="str">
        <f t="shared" si="25"/>
        <v/>
      </c>
      <c r="DM21" s="29" t="str">
        <f t="shared" si="26"/>
        <v/>
      </c>
      <c r="DN21" s="29">
        <f t="shared" si="58"/>
        <v>339.99999999999989</v>
      </c>
      <c r="DO21" s="27" t="s">
        <v>157</v>
      </c>
      <c r="DP21" s="36"/>
      <c r="DQ21" s="239"/>
      <c r="DR21" s="238"/>
      <c r="DS21" s="238"/>
      <c r="DT21" s="28" t="str">
        <f t="shared" si="59"/>
        <v/>
      </c>
      <c r="DU21" s="29" t="str">
        <f t="shared" si="27"/>
        <v/>
      </c>
      <c r="DV21" s="29" t="str">
        <f t="shared" si="28"/>
        <v/>
      </c>
      <c r="DW21" s="29" t="str">
        <f t="shared" si="60"/>
        <v/>
      </c>
      <c r="DX21" s="27"/>
      <c r="DY21" s="36"/>
      <c r="DZ21" s="239">
        <v>0.31458333333333333</v>
      </c>
      <c r="EA21" s="238">
        <v>0.7631944444444444</v>
      </c>
      <c r="EB21" s="238" t="s">
        <v>4</v>
      </c>
      <c r="EC21" s="28">
        <f t="shared" si="61"/>
        <v>0.39375000000000004</v>
      </c>
      <c r="ED21" s="29">
        <f t="shared" si="29"/>
        <v>9.9999999999998863</v>
      </c>
      <c r="EE21" s="29" t="str">
        <f t="shared" si="30"/>
        <v/>
      </c>
      <c r="EF21" s="29" t="str">
        <f t="shared" si="62"/>
        <v/>
      </c>
      <c r="EG21" s="27"/>
      <c r="EI21" s="36"/>
      <c r="EK21" s="29">
        <v>0</v>
      </c>
      <c r="EL21" s="29">
        <f t="shared" ref="EL21" si="70">SUM(I21,R21,AA21,AJ21,AS21,BB21,BK21,BT21,CC21,CL21,CU21,DD21,DM21,DV21,EE21)</f>
        <v>0</v>
      </c>
      <c r="EM21" s="54">
        <v>0</v>
      </c>
      <c r="EN21" s="27">
        <f t="shared" si="32"/>
        <v>0</v>
      </c>
      <c r="EO21" s="54">
        <f t="shared" si="33"/>
        <v>15</v>
      </c>
      <c r="EP21" s="27">
        <f t="shared" si="65"/>
        <v>2</v>
      </c>
      <c r="EQ21" s="27">
        <f t="shared" si="66"/>
        <v>0</v>
      </c>
      <c r="ER21" s="27">
        <f t="shared" si="67"/>
        <v>0</v>
      </c>
      <c r="ES21" s="27">
        <f t="shared" si="68"/>
        <v>0</v>
      </c>
    </row>
    <row r="22" spans="1:149" s="30" customFormat="1" x14ac:dyDescent="0.25">
      <c r="A22" s="37">
        <f t="shared" si="69"/>
        <v>4</v>
      </c>
      <c r="B22" s="33" t="str">
        <f>'1RA QUINCENA JUNIO 26'!B13</f>
        <v>CORI ADAN RUTBEL</v>
      </c>
      <c r="C22" s="38">
        <v>1</v>
      </c>
      <c r="D22" s="239">
        <v>0.30763888888888891</v>
      </c>
      <c r="E22" s="238">
        <v>0.77083333333333337</v>
      </c>
      <c r="F22" s="238" t="s">
        <v>4</v>
      </c>
      <c r="G22" s="28">
        <f t="shared" si="34"/>
        <v>0.40069444444444446</v>
      </c>
      <c r="H22" s="29">
        <f t="shared" si="0"/>
        <v>0</v>
      </c>
      <c r="I22" s="29" t="str">
        <f t="shared" si="1"/>
        <v/>
      </c>
      <c r="J22" s="29" t="str">
        <f t="shared" si="2"/>
        <v/>
      </c>
      <c r="K22" s="27"/>
      <c r="L22" s="36"/>
      <c r="M22" s="239">
        <v>0.30763888888888891</v>
      </c>
      <c r="N22" s="238">
        <v>0.76944444444444449</v>
      </c>
      <c r="O22" s="238" t="s">
        <v>4</v>
      </c>
      <c r="P22" s="28">
        <f t="shared" si="35"/>
        <v>0.40069444444444446</v>
      </c>
      <c r="Q22" s="29">
        <f t="shared" si="3"/>
        <v>0</v>
      </c>
      <c r="R22" s="29" t="str">
        <f t="shared" si="4"/>
        <v/>
      </c>
      <c r="S22" s="29" t="str">
        <f t="shared" si="36"/>
        <v/>
      </c>
      <c r="T22" s="27"/>
      <c r="U22" s="36"/>
      <c r="V22" s="239">
        <v>0.30763888888888891</v>
      </c>
      <c r="W22" s="238">
        <v>0.76041666666666663</v>
      </c>
      <c r="X22" s="238" t="s">
        <v>4</v>
      </c>
      <c r="Y22" s="28">
        <f t="shared" si="37"/>
        <v>0.40069444444444446</v>
      </c>
      <c r="Z22" s="29">
        <f t="shared" si="5"/>
        <v>0</v>
      </c>
      <c r="AA22" s="29" t="str">
        <f t="shared" si="6"/>
        <v/>
      </c>
      <c r="AB22" s="29" t="str">
        <f t="shared" si="38"/>
        <v/>
      </c>
      <c r="AC22" s="27"/>
      <c r="AD22" s="36"/>
      <c r="AE22" s="239">
        <v>0.30763888888888891</v>
      </c>
      <c r="AF22" s="238">
        <v>0.76875000000000004</v>
      </c>
      <c r="AG22" s="238" t="s">
        <v>4</v>
      </c>
      <c r="AH22" s="28">
        <f t="shared" si="39"/>
        <v>0.40069444444444446</v>
      </c>
      <c r="AI22" s="29">
        <f t="shared" si="7"/>
        <v>0</v>
      </c>
      <c r="AJ22" s="29" t="str">
        <f t="shared" si="8"/>
        <v/>
      </c>
      <c r="AK22" s="29" t="str">
        <f t="shared" si="40"/>
        <v/>
      </c>
      <c r="AL22" s="27"/>
      <c r="AM22" s="36"/>
      <c r="AN22" s="239">
        <v>0.30763888888888891</v>
      </c>
      <c r="AO22" s="238">
        <v>0.77083333333333337</v>
      </c>
      <c r="AP22" s="238" t="s">
        <v>4</v>
      </c>
      <c r="AQ22" s="28">
        <f t="shared" si="41"/>
        <v>0.40069444444444446</v>
      </c>
      <c r="AR22" s="29">
        <f t="shared" si="9"/>
        <v>0</v>
      </c>
      <c r="AS22" s="29" t="str">
        <f t="shared" si="10"/>
        <v/>
      </c>
      <c r="AT22" s="29" t="str">
        <f t="shared" si="42"/>
        <v/>
      </c>
      <c r="AU22" s="27"/>
      <c r="AV22" s="36"/>
      <c r="AW22" s="239"/>
      <c r="AX22" s="238"/>
      <c r="AY22" s="238"/>
      <c r="AZ22" s="28" t="str">
        <f t="shared" si="43"/>
        <v/>
      </c>
      <c r="BA22" s="29" t="str">
        <f t="shared" si="11"/>
        <v/>
      </c>
      <c r="BB22" s="29" t="str">
        <f t="shared" si="12"/>
        <v/>
      </c>
      <c r="BC22" s="29" t="str">
        <f t="shared" si="44"/>
        <v/>
      </c>
      <c r="BD22" s="27"/>
      <c r="BE22" s="36"/>
      <c r="BF22" s="239"/>
      <c r="BG22" s="238"/>
      <c r="BH22" s="238"/>
      <c r="BI22" s="28" t="str">
        <f t="shared" si="45"/>
        <v/>
      </c>
      <c r="BJ22" s="29" t="str">
        <f t="shared" si="13"/>
        <v/>
      </c>
      <c r="BK22" s="29" t="str">
        <f t="shared" si="14"/>
        <v/>
      </c>
      <c r="BL22" s="29" t="str">
        <f t="shared" si="46"/>
        <v/>
      </c>
      <c r="BM22" s="27"/>
      <c r="BN22" s="36"/>
      <c r="BO22" s="239">
        <v>0.30763888888888891</v>
      </c>
      <c r="BP22" s="238">
        <v>0.77222222222222225</v>
      </c>
      <c r="BQ22" s="238" t="s">
        <v>4</v>
      </c>
      <c r="BR22" s="28">
        <f t="shared" si="47"/>
        <v>0.40069444444444446</v>
      </c>
      <c r="BS22" s="29">
        <f t="shared" si="15"/>
        <v>0</v>
      </c>
      <c r="BT22" s="29" t="str">
        <f t="shared" si="16"/>
        <v/>
      </c>
      <c r="BU22" s="29" t="str">
        <f t="shared" si="48"/>
        <v/>
      </c>
      <c r="BV22" s="27"/>
      <c r="BW22" s="36"/>
      <c r="BX22" s="239">
        <v>0.30763888888888891</v>
      </c>
      <c r="BY22" s="238">
        <v>0.76944444444444449</v>
      </c>
      <c r="BZ22" s="238" t="s">
        <v>4</v>
      </c>
      <c r="CA22" s="28">
        <f t="shared" si="49"/>
        <v>0.40069444444444446</v>
      </c>
      <c r="CB22" s="29">
        <f t="shared" si="17"/>
        <v>0</v>
      </c>
      <c r="CC22" s="29" t="str">
        <f t="shared" si="18"/>
        <v/>
      </c>
      <c r="CD22" s="29" t="str">
        <f t="shared" si="50"/>
        <v/>
      </c>
      <c r="CE22" s="27"/>
      <c r="CF22" s="36"/>
      <c r="CG22" s="239">
        <v>0.28472222222222221</v>
      </c>
      <c r="CH22" s="238">
        <v>0.76736111111111116</v>
      </c>
      <c r="CI22" s="238" t="s">
        <v>4</v>
      </c>
      <c r="CJ22" s="28">
        <f t="shared" si="51"/>
        <v>0.40069444444444446</v>
      </c>
      <c r="CK22" s="29">
        <f t="shared" si="19"/>
        <v>0</v>
      </c>
      <c r="CL22" s="29" t="str">
        <f t="shared" si="20"/>
        <v/>
      </c>
      <c r="CM22" s="29" t="str">
        <f t="shared" si="52"/>
        <v/>
      </c>
      <c r="CN22" s="27"/>
      <c r="CO22" s="36"/>
      <c r="CP22" s="239">
        <v>0.42638888888888887</v>
      </c>
      <c r="CQ22" s="238">
        <v>0.76388888888888884</v>
      </c>
      <c r="CR22" s="238" t="s">
        <v>4</v>
      </c>
      <c r="CS22" s="28">
        <f t="shared" si="53"/>
        <v>0.2819444444444445</v>
      </c>
      <c r="CT22" s="29">
        <f t="shared" si="21"/>
        <v>170.99999999999994</v>
      </c>
      <c r="CU22" s="29" t="str">
        <f t="shared" si="22"/>
        <v/>
      </c>
      <c r="CV22" s="29" t="str">
        <f t="shared" si="54"/>
        <v/>
      </c>
      <c r="CW22" s="27"/>
      <c r="CX22" s="36"/>
      <c r="CY22" s="239">
        <v>0.2902777777777778</v>
      </c>
      <c r="CZ22" s="238">
        <v>0.77708333333333324</v>
      </c>
      <c r="DA22" s="238" t="s">
        <v>4</v>
      </c>
      <c r="DB22" s="28">
        <f t="shared" si="55"/>
        <v>0.40069444444444446</v>
      </c>
      <c r="DC22" s="29">
        <f t="shared" si="23"/>
        <v>0</v>
      </c>
      <c r="DD22" s="29" t="str">
        <f t="shared" si="24"/>
        <v/>
      </c>
      <c r="DE22" s="29" t="str">
        <f t="shared" si="56"/>
        <v/>
      </c>
      <c r="DF22" s="27"/>
      <c r="DG22" s="36"/>
      <c r="DH22" s="239"/>
      <c r="DI22" s="238"/>
      <c r="DJ22" s="238"/>
      <c r="DK22" s="28" t="str">
        <f t="shared" si="57"/>
        <v/>
      </c>
      <c r="DL22" s="29" t="str">
        <f t="shared" si="25"/>
        <v/>
      </c>
      <c r="DM22" s="29" t="str">
        <f t="shared" si="26"/>
        <v/>
      </c>
      <c r="DN22" s="29" t="str">
        <f t="shared" si="58"/>
        <v/>
      </c>
      <c r="DO22" s="27"/>
      <c r="DP22" s="36"/>
      <c r="DQ22" s="239"/>
      <c r="DR22" s="238"/>
      <c r="DS22" s="238"/>
      <c r="DT22" s="28" t="str">
        <f t="shared" si="59"/>
        <v/>
      </c>
      <c r="DU22" s="29" t="str">
        <f t="shared" si="27"/>
        <v/>
      </c>
      <c r="DV22" s="29" t="str">
        <f t="shared" si="28"/>
        <v/>
      </c>
      <c r="DW22" s="29" t="str">
        <f t="shared" si="60"/>
        <v/>
      </c>
      <c r="DX22" s="27"/>
      <c r="DY22" s="36"/>
      <c r="DZ22" s="239"/>
      <c r="EA22" s="238"/>
      <c r="EB22" s="238" t="s">
        <v>4</v>
      </c>
      <c r="EC22" s="28" t="str">
        <f t="shared" si="61"/>
        <v/>
      </c>
      <c r="ED22" s="29" t="str">
        <f t="shared" si="29"/>
        <v/>
      </c>
      <c r="EE22" s="29" t="str">
        <f t="shared" si="30"/>
        <v/>
      </c>
      <c r="EF22" s="29" t="str">
        <f t="shared" si="62"/>
        <v/>
      </c>
      <c r="EG22" s="27" t="s">
        <v>143</v>
      </c>
      <c r="EI22" s="36"/>
      <c r="EK22" s="29">
        <f t="shared" si="31"/>
        <v>170.99999999999994</v>
      </c>
      <c r="EL22" s="29">
        <f t="shared" si="63"/>
        <v>0</v>
      </c>
      <c r="EM22" s="54">
        <f t="shared" si="64"/>
        <v>0</v>
      </c>
      <c r="EN22" s="27">
        <f t="shared" si="32"/>
        <v>1</v>
      </c>
      <c r="EO22" s="54">
        <f t="shared" si="33"/>
        <v>14</v>
      </c>
      <c r="EP22" s="27">
        <f t="shared" si="65"/>
        <v>0</v>
      </c>
      <c r="EQ22" s="27">
        <f t="shared" si="66"/>
        <v>0</v>
      </c>
      <c r="ER22" s="27">
        <f t="shared" si="67"/>
        <v>0</v>
      </c>
      <c r="ES22" s="27">
        <f t="shared" si="68"/>
        <v>0</v>
      </c>
    </row>
    <row r="23" spans="1:149" s="30" customFormat="1" x14ac:dyDescent="0.25">
      <c r="A23" s="37">
        <f t="shared" si="69"/>
        <v>5</v>
      </c>
      <c r="B23" s="33" t="str">
        <f>'1RA QUINCENA JUNIO 26'!B14</f>
        <v>GAVIDIA PEREIRA JAVIER</v>
      </c>
      <c r="C23" s="38">
        <v>2</v>
      </c>
      <c r="D23" s="239">
        <v>0.33333333333333331</v>
      </c>
      <c r="E23" s="238">
        <v>0.75</v>
      </c>
      <c r="F23" s="238" t="s">
        <v>4</v>
      </c>
      <c r="G23" s="28">
        <f t="shared" si="34"/>
        <v>0.37500000000000006</v>
      </c>
      <c r="H23" s="29">
        <f t="shared" si="0"/>
        <v>0</v>
      </c>
      <c r="I23" s="29" t="str">
        <f t="shared" si="1"/>
        <v/>
      </c>
      <c r="J23" s="29" t="str">
        <f t="shared" si="2"/>
        <v/>
      </c>
      <c r="K23" s="27"/>
      <c r="L23" s="36"/>
      <c r="M23" s="239">
        <v>0.33333333333333331</v>
      </c>
      <c r="N23" s="238">
        <v>0.75</v>
      </c>
      <c r="O23" s="238" t="s">
        <v>4</v>
      </c>
      <c r="P23" s="28">
        <f t="shared" si="35"/>
        <v>0.37500000000000006</v>
      </c>
      <c r="Q23" s="29">
        <f t="shared" si="3"/>
        <v>0</v>
      </c>
      <c r="R23" s="29" t="str">
        <f t="shared" si="4"/>
        <v/>
      </c>
      <c r="S23" s="29" t="str">
        <f t="shared" si="36"/>
        <v/>
      </c>
      <c r="T23" s="27"/>
      <c r="U23" s="36"/>
      <c r="V23" s="239">
        <v>0.33333333333333331</v>
      </c>
      <c r="W23" s="238">
        <v>0.75</v>
      </c>
      <c r="X23" s="238" t="s">
        <v>4</v>
      </c>
      <c r="Y23" s="28">
        <f t="shared" si="37"/>
        <v>0.37500000000000006</v>
      </c>
      <c r="Z23" s="29">
        <f t="shared" si="5"/>
        <v>0</v>
      </c>
      <c r="AA23" s="29" t="str">
        <f t="shared" si="6"/>
        <v/>
      </c>
      <c r="AB23" s="29" t="str">
        <f t="shared" si="38"/>
        <v/>
      </c>
      <c r="AC23" s="27"/>
      <c r="AD23" s="36"/>
      <c r="AE23" s="239">
        <v>0.33333333333333331</v>
      </c>
      <c r="AF23" s="238">
        <v>0.75</v>
      </c>
      <c r="AG23" s="238" t="s">
        <v>4</v>
      </c>
      <c r="AH23" s="28">
        <f t="shared" si="39"/>
        <v>0.37500000000000006</v>
      </c>
      <c r="AI23" s="29">
        <f t="shared" si="7"/>
        <v>0</v>
      </c>
      <c r="AJ23" s="29" t="str">
        <f t="shared" si="8"/>
        <v/>
      </c>
      <c r="AK23" s="29" t="str">
        <f t="shared" si="40"/>
        <v/>
      </c>
      <c r="AL23" s="27"/>
      <c r="AM23" s="36"/>
      <c r="AN23" s="239">
        <v>0.33333333333333331</v>
      </c>
      <c r="AO23" s="238">
        <v>0.75</v>
      </c>
      <c r="AP23" s="238" t="s">
        <v>4</v>
      </c>
      <c r="AQ23" s="28">
        <f t="shared" si="41"/>
        <v>0.37500000000000006</v>
      </c>
      <c r="AR23" s="29">
        <f t="shared" si="9"/>
        <v>0</v>
      </c>
      <c r="AS23" s="29" t="str">
        <f t="shared" si="10"/>
        <v/>
      </c>
      <c r="AT23" s="29" t="str">
        <f t="shared" si="42"/>
        <v/>
      </c>
      <c r="AU23" s="27"/>
      <c r="AV23" s="36"/>
      <c r="AW23" s="239"/>
      <c r="AX23" s="238"/>
      <c r="AY23" s="238"/>
      <c r="AZ23" s="28" t="str">
        <f t="shared" si="43"/>
        <v/>
      </c>
      <c r="BA23" s="29" t="str">
        <f t="shared" si="11"/>
        <v/>
      </c>
      <c r="BB23" s="29" t="str">
        <f t="shared" si="12"/>
        <v/>
      </c>
      <c r="BC23" s="29" t="str">
        <f t="shared" si="44"/>
        <v/>
      </c>
      <c r="BD23" s="27"/>
      <c r="BE23" s="36"/>
      <c r="BF23" s="239"/>
      <c r="BG23" s="238"/>
      <c r="BH23" s="238"/>
      <c r="BI23" s="28" t="str">
        <f t="shared" si="45"/>
        <v/>
      </c>
      <c r="BJ23" s="29" t="str">
        <f t="shared" si="13"/>
        <v/>
      </c>
      <c r="BK23" s="29" t="str">
        <f t="shared" si="14"/>
        <v/>
      </c>
      <c r="BL23" s="29" t="str">
        <f t="shared" si="46"/>
        <v/>
      </c>
      <c r="BM23" s="27"/>
      <c r="BN23" s="36"/>
      <c r="BO23" s="239">
        <v>0.33333333333333331</v>
      </c>
      <c r="BP23" s="238">
        <v>0.75</v>
      </c>
      <c r="BQ23" s="238" t="s">
        <v>4</v>
      </c>
      <c r="BR23" s="28">
        <f t="shared" si="47"/>
        <v>0.37500000000000006</v>
      </c>
      <c r="BS23" s="29">
        <f t="shared" si="15"/>
        <v>0</v>
      </c>
      <c r="BT23" s="29" t="str">
        <f t="shared" si="16"/>
        <v/>
      </c>
      <c r="BU23" s="29" t="str">
        <f t="shared" si="48"/>
        <v/>
      </c>
      <c r="BV23" s="27"/>
      <c r="BW23" s="36"/>
      <c r="BX23" s="239">
        <v>0.33333333333333331</v>
      </c>
      <c r="BY23" s="238">
        <v>0.75</v>
      </c>
      <c r="BZ23" s="238" t="s">
        <v>4</v>
      </c>
      <c r="CA23" s="28">
        <f t="shared" si="49"/>
        <v>0.37500000000000006</v>
      </c>
      <c r="CB23" s="29">
        <f t="shared" si="17"/>
        <v>0</v>
      </c>
      <c r="CC23" s="29" t="str">
        <f t="shared" si="18"/>
        <v/>
      </c>
      <c r="CD23" s="29" t="str">
        <f t="shared" si="50"/>
        <v/>
      </c>
      <c r="CE23" s="27"/>
      <c r="CF23" s="36"/>
      <c r="CG23" s="239">
        <v>0.33333333333333331</v>
      </c>
      <c r="CH23" s="238">
        <v>0.75</v>
      </c>
      <c r="CI23" s="238" t="s">
        <v>4</v>
      </c>
      <c r="CJ23" s="28">
        <f t="shared" si="51"/>
        <v>0.37500000000000006</v>
      </c>
      <c r="CK23" s="29">
        <f t="shared" si="19"/>
        <v>0</v>
      </c>
      <c r="CL23" s="29" t="str">
        <f t="shared" si="20"/>
        <v/>
      </c>
      <c r="CM23" s="29" t="str">
        <f t="shared" si="52"/>
        <v/>
      </c>
      <c r="CN23" s="27"/>
      <c r="CO23" s="36"/>
      <c r="CP23" s="239">
        <v>0.33333333333333331</v>
      </c>
      <c r="CQ23" s="238">
        <v>0.75</v>
      </c>
      <c r="CR23" s="238" t="s">
        <v>4</v>
      </c>
      <c r="CS23" s="28">
        <f t="shared" si="53"/>
        <v>0.37500000000000006</v>
      </c>
      <c r="CT23" s="29">
        <f t="shared" si="21"/>
        <v>0</v>
      </c>
      <c r="CU23" s="29" t="str">
        <f t="shared" si="22"/>
        <v/>
      </c>
      <c r="CV23" s="29" t="str">
        <f t="shared" si="54"/>
        <v/>
      </c>
      <c r="CW23" s="27"/>
      <c r="CX23" s="36"/>
      <c r="CY23" s="239">
        <v>0.33333333333333331</v>
      </c>
      <c r="CZ23" s="238">
        <v>0.75</v>
      </c>
      <c r="DA23" s="238" t="s">
        <v>4</v>
      </c>
      <c r="DB23" s="28">
        <f t="shared" si="55"/>
        <v>0.37500000000000006</v>
      </c>
      <c r="DC23" s="29">
        <f t="shared" si="23"/>
        <v>0</v>
      </c>
      <c r="DD23" s="29" t="str">
        <f t="shared" si="24"/>
        <v/>
      </c>
      <c r="DE23" s="29" t="str">
        <f t="shared" si="56"/>
        <v/>
      </c>
      <c r="DF23" s="27"/>
      <c r="DG23" s="36"/>
      <c r="DH23" s="239"/>
      <c r="DI23" s="238"/>
      <c r="DJ23" s="238"/>
      <c r="DK23" s="28" t="str">
        <f t="shared" si="57"/>
        <v/>
      </c>
      <c r="DL23" s="29" t="str">
        <f t="shared" si="25"/>
        <v/>
      </c>
      <c r="DM23" s="29" t="str">
        <f t="shared" si="26"/>
        <v/>
      </c>
      <c r="DN23" s="29" t="str">
        <f t="shared" si="58"/>
        <v/>
      </c>
      <c r="DO23" s="27"/>
      <c r="DP23" s="36"/>
      <c r="DQ23" s="239"/>
      <c r="DR23" s="238"/>
      <c r="DS23" s="238"/>
      <c r="DT23" s="28" t="str">
        <f t="shared" si="59"/>
        <v/>
      </c>
      <c r="DU23" s="29" t="str">
        <f t="shared" si="27"/>
        <v/>
      </c>
      <c r="DV23" s="29" t="str">
        <f t="shared" si="28"/>
        <v/>
      </c>
      <c r="DW23" s="29" t="str">
        <f t="shared" si="60"/>
        <v/>
      </c>
      <c r="DX23" s="27"/>
      <c r="DY23" s="36"/>
      <c r="DZ23" s="239">
        <v>0.33333333333333331</v>
      </c>
      <c r="EA23" s="238">
        <v>0.75</v>
      </c>
      <c r="EB23" s="238" t="s">
        <v>4</v>
      </c>
      <c r="EC23" s="28">
        <f t="shared" si="61"/>
        <v>0.37500000000000006</v>
      </c>
      <c r="ED23" s="29">
        <f t="shared" si="29"/>
        <v>0</v>
      </c>
      <c r="EE23" s="29" t="str">
        <f t="shared" si="30"/>
        <v/>
      </c>
      <c r="EF23" s="29" t="str">
        <f t="shared" si="62"/>
        <v/>
      </c>
      <c r="EG23" s="27"/>
      <c r="EI23" s="36"/>
      <c r="EK23" s="29">
        <f t="shared" si="31"/>
        <v>0</v>
      </c>
      <c r="EL23" s="29">
        <f t="shared" si="63"/>
        <v>0</v>
      </c>
      <c r="EM23" s="54">
        <f t="shared" si="64"/>
        <v>0</v>
      </c>
      <c r="EN23" s="27">
        <f t="shared" si="32"/>
        <v>0</v>
      </c>
      <c r="EO23" s="54">
        <f t="shared" si="33"/>
        <v>15</v>
      </c>
      <c r="EP23" s="27">
        <f t="shared" si="65"/>
        <v>0</v>
      </c>
      <c r="EQ23" s="27">
        <f t="shared" si="66"/>
        <v>0</v>
      </c>
      <c r="ER23" s="27">
        <f t="shared" si="67"/>
        <v>0</v>
      </c>
      <c r="ES23" s="27">
        <f t="shared" si="68"/>
        <v>0</v>
      </c>
    </row>
    <row r="24" spans="1:149" s="30" customFormat="1" ht="18.75" customHeight="1" x14ac:dyDescent="0.25">
      <c r="A24" s="37">
        <f t="shared" si="69"/>
        <v>6</v>
      </c>
      <c r="B24" s="33" t="str">
        <f>'1RA QUINCENA JUNIO 26'!B15</f>
        <v>HIDALGO MOYA, LIZBETH SONIA</v>
      </c>
      <c r="C24" s="38">
        <v>2</v>
      </c>
      <c r="D24" s="239">
        <v>0.3888888888888889</v>
      </c>
      <c r="E24" s="238">
        <v>0.75</v>
      </c>
      <c r="F24" s="238" t="s">
        <v>4</v>
      </c>
      <c r="G24" s="28">
        <f t="shared" si="34"/>
        <v>0.31944444444444448</v>
      </c>
      <c r="H24" s="29">
        <f t="shared" si="0"/>
        <v>80.000000000000057</v>
      </c>
      <c r="I24" s="29" t="str">
        <f t="shared" si="1"/>
        <v/>
      </c>
      <c r="J24" s="29" t="str">
        <f t="shared" si="2"/>
        <v/>
      </c>
      <c r="K24" s="27"/>
      <c r="L24" s="36"/>
      <c r="M24" s="239">
        <v>0.40555555555555556</v>
      </c>
      <c r="N24" s="238">
        <v>0.75972222222222219</v>
      </c>
      <c r="O24" s="238" t="s">
        <v>4</v>
      </c>
      <c r="P24" s="28">
        <f t="shared" si="35"/>
        <v>0.30277777777777781</v>
      </c>
      <c r="Q24" s="29">
        <f t="shared" si="3"/>
        <v>104.00000000000006</v>
      </c>
      <c r="R24" s="29" t="str">
        <f t="shared" si="4"/>
        <v/>
      </c>
      <c r="S24" s="29" t="str">
        <f t="shared" si="36"/>
        <v/>
      </c>
      <c r="T24" s="27"/>
      <c r="U24" s="36"/>
      <c r="V24" s="239">
        <v>0.41319444444444442</v>
      </c>
      <c r="W24" s="238">
        <v>0.76041666666666663</v>
      </c>
      <c r="X24" s="238" t="s">
        <v>4</v>
      </c>
      <c r="Y24" s="28">
        <f t="shared" si="37"/>
        <v>0.29513888888888895</v>
      </c>
      <c r="Z24" s="29">
        <f t="shared" si="5"/>
        <v>115</v>
      </c>
      <c r="AA24" s="29" t="str">
        <f t="shared" si="6"/>
        <v/>
      </c>
      <c r="AB24" s="29" t="str">
        <f t="shared" si="38"/>
        <v/>
      </c>
      <c r="AC24" s="27"/>
      <c r="AD24" s="36"/>
      <c r="AE24" s="239">
        <v>0.33333333333333331</v>
      </c>
      <c r="AF24" s="238">
        <v>0.75</v>
      </c>
      <c r="AG24" s="238" t="s">
        <v>4</v>
      </c>
      <c r="AH24" s="28">
        <f t="shared" si="39"/>
        <v>0.37500000000000006</v>
      </c>
      <c r="AI24" s="29">
        <f t="shared" si="7"/>
        <v>0</v>
      </c>
      <c r="AJ24" s="29" t="str">
        <f t="shared" si="8"/>
        <v/>
      </c>
      <c r="AK24" s="29" t="str">
        <f t="shared" si="40"/>
        <v/>
      </c>
      <c r="AL24" s="27"/>
      <c r="AM24" s="36"/>
      <c r="AN24" s="239">
        <v>0.4</v>
      </c>
      <c r="AO24" s="238">
        <v>0.76458333333333328</v>
      </c>
      <c r="AP24" s="238" t="s">
        <v>4</v>
      </c>
      <c r="AQ24" s="28">
        <f t="shared" si="41"/>
        <v>0.30833333333333335</v>
      </c>
      <c r="AR24" s="29">
        <f t="shared" si="9"/>
        <v>96.000000000000114</v>
      </c>
      <c r="AS24" s="29" t="str">
        <f t="shared" si="10"/>
        <v/>
      </c>
      <c r="AT24" s="29" t="str">
        <f t="shared" si="42"/>
        <v/>
      </c>
      <c r="AU24" s="27"/>
      <c r="AV24" s="36"/>
      <c r="AW24" s="239"/>
      <c r="AX24" s="238"/>
      <c r="AY24" s="238"/>
      <c r="AZ24" s="28" t="str">
        <f t="shared" si="43"/>
        <v/>
      </c>
      <c r="BA24" s="29" t="str">
        <f t="shared" si="11"/>
        <v/>
      </c>
      <c r="BB24" s="29" t="str">
        <f t="shared" si="12"/>
        <v/>
      </c>
      <c r="BC24" s="29" t="str">
        <f t="shared" si="44"/>
        <v/>
      </c>
      <c r="BD24" s="27"/>
      <c r="BE24" s="36"/>
      <c r="BF24" s="239"/>
      <c r="BG24" s="238"/>
      <c r="BH24" s="238"/>
      <c r="BI24" s="28" t="str">
        <f t="shared" si="45"/>
        <v/>
      </c>
      <c r="BJ24" s="29" t="str">
        <f t="shared" si="13"/>
        <v/>
      </c>
      <c r="BK24" s="29" t="str">
        <f t="shared" si="14"/>
        <v/>
      </c>
      <c r="BL24" s="29" t="str">
        <f t="shared" si="46"/>
        <v/>
      </c>
      <c r="BM24" s="27"/>
      <c r="BN24" s="36"/>
      <c r="BO24" s="259">
        <v>0.42777777777777776</v>
      </c>
      <c r="BP24" s="260">
        <v>0.65277777777777779</v>
      </c>
      <c r="BQ24" s="238" t="s">
        <v>4</v>
      </c>
      <c r="BR24" s="28">
        <f t="shared" si="47"/>
        <v>0.1833333333333334</v>
      </c>
      <c r="BS24" s="29">
        <f t="shared" si="15"/>
        <v>276</v>
      </c>
      <c r="BT24" s="29" t="str">
        <f t="shared" si="16"/>
        <v/>
      </c>
      <c r="BU24" s="29" t="str">
        <f t="shared" si="48"/>
        <v/>
      </c>
      <c r="BV24" s="27"/>
      <c r="BW24" s="36"/>
      <c r="BX24" s="239">
        <v>0.33333333333333331</v>
      </c>
      <c r="BY24" s="238">
        <v>0.75</v>
      </c>
      <c r="BZ24" s="238" t="s">
        <v>4</v>
      </c>
      <c r="CA24" s="28">
        <f t="shared" si="49"/>
        <v>0.37500000000000006</v>
      </c>
      <c r="CB24" s="29">
        <f t="shared" si="17"/>
        <v>0</v>
      </c>
      <c r="CC24" s="29" t="str">
        <f t="shared" si="18"/>
        <v/>
      </c>
      <c r="CD24" s="29" t="str">
        <f t="shared" si="50"/>
        <v/>
      </c>
      <c r="CE24" s="27"/>
      <c r="CF24" s="36"/>
      <c r="CG24" s="239">
        <v>0.4055555555555555</v>
      </c>
      <c r="CH24" s="238">
        <v>0.75902777777777775</v>
      </c>
      <c r="CI24" s="238" t="s">
        <v>4</v>
      </c>
      <c r="CJ24" s="28">
        <f t="shared" si="51"/>
        <v>0.30277777777777787</v>
      </c>
      <c r="CK24" s="29">
        <f t="shared" si="19"/>
        <v>104</v>
      </c>
      <c r="CL24" s="29" t="str">
        <f t="shared" si="20"/>
        <v/>
      </c>
      <c r="CM24" s="29" t="str">
        <f t="shared" si="52"/>
        <v/>
      </c>
      <c r="CN24" s="27"/>
      <c r="CO24" s="36"/>
      <c r="CP24" s="239">
        <v>0.42638888888888887</v>
      </c>
      <c r="CQ24" s="238">
        <v>0.76388888888888884</v>
      </c>
      <c r="CR24" s="238" t="s">
        <v>4</v>
      </c>
      <c r="CS24" s="28">
        <f t="shared" si="53"/>
        <v>0.2819444444444445</v>
      </c>
      <c r="CT24" s="29">
        <f t="shared" si="21"/>
        <v>134.00000000000006</v>
      </c>
      <c r="CU24" s="29" t="str">
        <f t="shared" si="22"/>
        <v/>
      </c>
      <c r="CV24" s="29" t="str">
        <f t="shared" si="54"/>
        <v/>
      </c>
      <c r="CW24" s="27"/>
      <c r="CX24" s="36"/>
      <c r="CY24" s="239">
        <v>0.40277777777777773</v>
      </c>
      <c r="CZ24" s="238">
        <v>0.7583333333333333</v>
      </c>
      <c r="DA24" s="238" t="s">
        <v>4</v>
      </c>
      <c r="DB24" s="28">
        <f t="shared" si="55"/>
        <v>0.30555555555555564</v>
      </c>
      <c r="DC24" s="29">
        <f t="shared" si="23"/>
        <v>100</v>
      </c>
      <c r="DD24" s="29" t="str">
        <f t="shared" si="24"/>
        <v/>
      </c>
      <c r="DE24" s="29" t="str">
        <f t="shared" si="56"/>
        <v/>
      </c>
      <c r="DF24" s="27"/>
      <c r="DG24" s="36"/>
      <c r="DH24" s="239"/>
      <c r="DI24" s="238"/>
      <c r="DJ24" s="238"/>
      <c r="DK24" s="28" t="str">
        <f t="shared" si="57"/>
        <v/>
      </c>
      <c r="DL24" s="29" t="str">
        <f t="shared" si="25"/>
        <v/>
      </c>
      <c r="DM24" s="29" t="str">
        <f t="shared" si="26"/>
        <v/>
      </c>
      <c r="DN24" s="29" t="str">
        <f t="shared" si="58"/>
        <v/>
      </c>
      <c r="DO24" s="27"/>
      <c r="DP24" s="36"/>
      <c r="DQ24" s="239"/>
      <c r="DR24" s="238"/>
      <c r="DS24" s="238"/>
      <c r="DT24" s="28" t="str">
        <f t="shared" si="59"/>
        <v/>
      </c>
      <c r="DU24" s="29" t="str">
        <f t="shared" si="27"/>
        <v/>
      </c>
      <c r="DV24" s="29" t="str">
        <f t="shared" si="28"/>
        <v/>
      </c>
      <c r="DW24" s="29" t="str">
        <f t="shared" si="60"/>
        <v/>
      </c>
      <c r="DX24" s="27"/>
      <c r="DY24" s="36"/>
      <c r="DZ24" s="239">
        <v>0.39097222222222222</v>
      </c>
      <c r="EA24" s="238">
        <v>0.7583333333333333</v>
      </c>
      <c r="EB24" s="238" t="s">
        <v>4</v>
      </c>
      <c r="EC24" s="28">
        <f t="shared" si="61"/>
        <v>0.31736111111111115</v>
      </c>
      <c r="ED24" s="29">
        <f t="shared" si="29"/>
        <v>83.000000000000057</v>
      </c>
      <c r="EE24" s="29" t="str">
        <f t="shared" si="30"/>
        <v/>
      </c>
      <c r="EF24" s="29" t="str">
        <f t="shared" si="62"/>
        <v/>
      </c>
      <c r="EG24" s="27"/>
      <c r="EI24" s="36"/>
      <c r="EK24" s="29">
        <v>0</v>
      </c>
      <c r="EL24" s="29">
        <f t="shared" si="63"/>
        <v>0</v>
      </c>
      <c r="EM24" s="54">
        <f t="shared" si="64"/>
        <v>0</v>
      </c>
      <c r="EN24" s="27">
        <f t="shared" si="32"/>
        <v>0</v>
      </c>
      <c r="EO24" s="54">
        <f t="shared" si="33"/>
        <v>15</v>
      </c>
      <c r="EP24" s="27">
        <f t="shared" si="65"/>
        <v>0</v>
      </c>
      <c r="EQ24" s="27">
        <f t="shared" si="66"/>
        <v>0</v>
      </c>
      <c r="ER24" s="27">
        <f t="shared" si="67"/>
        <v>0</v>
      </c>
      <c r="ES24" s="27">
        <f t="shared" si="68"/>
        <v>0</v>
      </c>
    </row>
    <row r="25" spans="1:149" s="30" customFormat="1" x14ac:dyDescent="0.25">
      <c r="A25" s="37">
        <f t="shared" si="69"/>
        <v>7</v>
      </c>
      <c r="B25" s="33" t="str">
        <f>'1RA QUINCENA JUNIO 26'!B16</f>
        <v>LAGOS HUAMANI NIDIA</v>
      </c>
      <c r="C25" s="38">
        <v>2</v>
      </c>
      <c r="D25" s="239">
        <v>0.38055555555555554</v>
      </c>
      <c r="E25" s="238">
        <v>0.76388888888888884</v>
      </c>
      <c r="F25" s="238" t="s">
        <v>4</v>
      </c>
      <c r="G25" s="28">
        <f t="shared" si="34"/>
        <v>0.32777777777777783</v>
      </c>
      <c r="H25" s="29">
        <f t="shared" si="0"/>
        <v>68.000000000000057</v>
      </c>
      <c r="I25" s="29" t="str">
        <f t="shared" si="1"/>
        <v/>
      </c>
      <c r="J25" s="29" t="str">
        <f t="shared" si="2"/>
        <v/>
      </c>
      <c r="K25" s="27"/>
      <c r="L25" s="36"/>
      <c r="M25" s="239">
        <v>0.38194444444444442</v>
      </c>
      <c r="N25" s="238">
        <v>0.75972222222222219</v>
      </c>
      <c r="O25" s="238" t="s">
        <v>4</v>
      </c>
      <c r="P25" s="28">
        <f t="shared" si="35"/>
        <v>0.32638888888888895</v>
      </c>
      <c r="Q25" s="29">
        <f t="shared" si="3"/>
        <v>70</v>
      </c>
      <c r="R25" s="29" t="str">
        <f t="shared" si="4"/>
        <v/>
      </c>
      <c r="S25" s="29" t="str">
        <f t="shared" si="36"/>
        <v/>
      </c>
      <c r="T25" s="27"/>
      <c r="U25" s="36"/>
      <c r="V25" s="239">
        <v>0.39930555555555558</v>
      </c>
      <c r="W25" s="238">
        <v>0.76041666666666663</v>
      </c>
      <c r="X25" s="238" t="s">
        <v>4</v>
      </c>
      <c r="Y25" s="28">
        <f t="shared" si="37"/>
        <v>0.30902777777777779</v>
      </c>
      <c r="Z25" s="29">
        <f t="shared" si="5"/>
        <v>95.000000000000114</v>
      </c>
      <c r="AA25" s="29" t="str">
        <f t="shared" si="6"/>
        <v/>
      </c>
      <c r="AB25" s="29" t="str">
        <f t="shared" si="38"/>
        <v/>
      </c>
      <c r="AC25" s="27"/>
      <c r="AD25" s="36"/>
      <c r="AE25" s="239">
        <v>0.39374999999999999</v>
      </c>
      <c r="AF25" s="238">
        <v>0.75694444444444442</v>
      </c>
      <c r="AG25" s="238" t="s">
        <v>4</v>
      </c>
      <c r="AH25" s="28">
        <f t="shared" si="39"/>
        <v>0.31458333333333338</v>
      </c>
      <c r="AI25" s="29">
        <f t="shared" si="7"/>
        <v>87.000000000000057</v>
      </c>
      <c r="AJ25" s="29" t="str">
        <f t="shared" si="8"/>
        <v/>
      </c>
      <c r="AK25" s="29" t="str">
        <f t="shared" si="40"/>
        <v/>
      </c>
      <c r="AL25" s="27"/>
      <c r="AM25" s="36"/>
      <c r="AN25" s="239">
        <v>0.39513888888888887</v>
      </c>
      <c r="AO25" s="238">
        <v>0.76458333333333328</v>
      </c>
      <c r="AP25" s="238" t="s">
        <v>4</v>
      </c>
      <c r="AQ25" s="28">
        <f t="shared" si="41"/>
        <v>0.3131944444444445</v>
      </c>
      <c r="AR25" s="29">
        <f t="shared" si="9"/>
        <v>89.000000000000057</v>
      </c>
      <c r="AS25" s="29" t="str">
        <f t="shared" si="10"/>
        <v/>
      </c>
      <c r="AT25" s="29" t="str">
        <f t="shared" si="42"/>
        <v/>
      </c>
      <c r="AU25" s="27"/>
      <c r="AV25" s="36"/>
      <c r="AW25" s="239"/>
      <c r="AX25" s="238"/>
      <c r="AY25" s="238"/>
      <c r="AZ25" s="28" t="str">
        <f t="shared" si="43"/>
        <v/>
      </c>
      <c r="BA25" s="29" t="str">
        <f t="shared" si="11"/>
        <v/>
      </c>
      <c r="BB25" s="29" t="str">
        <f t="shared" si="12"/>
        <v/>
      </c>
      <c r="BC25" s="29" t="str">
        <f t="shared" si="44"/>
        <v/>
      </c>
      <c r="BD25" s="27"/>
      <c r="BE25" s="36"/>
      <c r="BF25" s="239"/>
      <c r="BG25" s="238"/>
      <c r="BH25" s="238"/>
      <c r="BI25" s="28" t="str">
        <f t="shared" si="45"/>
        <v/>
      </c>
      <c r="BJ25" s="29" t="str">
        <f t="shared" si="13"/>
        <v/>
      </c>
      <c r="BK25" s="29" t="str">
        <f t="shared" si="14"/>
        <v/>
      </c>
      <c r="BL25" s="29" t="str">
        <f t="shared" si="46"/>
        <v/>
      </c>
      <c r="BM25" s="27"/>
      <c r="BN25" s="36"/>
      <c r="BO25" s="239">
        <v>0.39305555555555555</v>
      </c>
      <c r="BP25" s="238">
        <v>0.75694444444444442</v>
      </c>
      <c r="BQ25" s="238" t="s">
        <v>4</v>
      </c>
      <c r="BR25" s="28">
        <f t="shared" si="47"/>
        <v>0.31527777777777782</v>
      </c>
      <c r="BS25" s="29">
        <f t="shared" si="15"/>
        <v>86.000000000000057</v>
      </c>
      <c r="BT25" s="29" t="str">
        <f t="shared" si="16"/>
        <v/>
      </c>
      <c r="BU25" s="29" t="str">
        <f t="shared" si="48"/>
        <v/>
      </c>
      <c r="BV25" s="27"/>
      <c r="BW25" s="36"/>
      <c r="BX25" s="239">
        <v>0.39097222222222222</v>
      </c>
      <c r="BY25" s="238">
        <v>0.76041666666666663</v>
      </c>
      <c r="BZ25" s="238" t="s">
        <v>4</v>
      </c>
      <c r="CA25" s="28">
        <f t="shared" si="49"/>
        <v>0.31736111111111115</v>
      </c>
      <c r="CB25" s="29">
        <f t="shared" si="17"/>
        <v>83.000000000000057</v>
      </c>
      <c r="CC25" s="29" t="str">
        <f t="shared" si="18"/>
        <v/>
      </c>
      <c r="CD25" s="29" t="str">
        <f t="shared" si="50"/>
        <v/>
      </c>
      <c r="CE25" s="27"/>
      <c r="CF25" s="36"/>
      <c r="CG25" s="239">
        <v>0.41111111111111115</v>
      </c>
      <c r="CH25" s="238">
        <v>0.75902777777777775</v>
      </c>
      <c r="CI25" s="238" t="s">
        <v>4</v>
      </c>
      <c r="CJ25" s="28">
        <f t="shared" si="51"/>
        <v>0.29722222222222222</v>
      </c>
      <c r="CK25" s="29">
        <f t="shared" si="19"/>
        <v>112.00000000000011</v>
      </c>
      <c r="CL25" s="29" t="str">
        <f t="shared" si="20"/>
        <v/>
      </c>
      <c r="CM25" s="29" t="str">
        <f t="shared" si="52"/>
        <v/>
      </c>
      <c r="CN25" s="27"/>
      <c r="CO25" s="36"/>
      <c r="CP25" s="239">
        <v>0.36527777777777781</v>
      </c>
      <c r="CQ25" s="238">
        <v>0.76388888888888884</v>
      </c>
      <c r="CR25" s="238" t="s">
        <v>4</v>
      </c>
      <c r="CS25" s="28">
        <f t="shared" si="53"/>
        <v>0.34305555555555556</v>
      </c>
      <c r="CT25" s="29">
        <f t="shared" si="21"/>
        <v>46.000000000000114</v>
      </c>
      <c r="CU25" s="29" t="str">
        <f t="shared" si="22"/>
        <v/>
      </c>
      <c r="CV25" s="29" t="str">
        <f t="shared" si="54"/>
        <v/>
      </c>
      <c r="CW25" s="27"/>
      <c r="CX25" s="36"/>
      <c r="CY25" s="239">
        <v>0.36319444444444443</v>
      </c>
      <c r="CZ25" s="238">
        <v>0.7631944444444444</v>
      </c>
      <c r="DA25" s="238" t="s">
        <v>4</v>
      </c>
      <c r="DB25" s="28">
        <f t="shared" si="55"/>
        <v>0.34513888888888894</v>
      </c>
      <c r="DC25" s="29">
        <f t="shared" si="23"/>
        <v>43.000000000000057</v>
      </c>
      <c r="DD25" s="29" t="str">
        <f t="shared" si="24"/>
        <v/>
      </c>
      <c r="DE25" s="29" t="str">
        <f t="shared" si="56"/>
        <v/>
      </c>
      <c r="DF25" s="27"/>
      <c r="DG25" s="36"/>
      <c r="DH25" s="239"/>
      <c r="DI25" s="238"/>
      <c r="DJ25" s="238"/>
      <c r="DK25" s="28" t="str">
        <f t="shared" si="57"/>
        <v/>
      </c>
      <c r="DL25" s="29" t="str">
        <f t="shared" si="25"/>
        <v/>
      </c>
      <c r="DM25" s="29" t="str">
        <f t="shared" si="26"/>
        <v/>
      </c>
      <c r="DN25" s="29" t="str">
        <f t="shared" si="58"/>
        <v/>
      </c>
      <c r="DO25" s="27"/>
      <c r="DP25" s="36"/>
      <c r="DQ25" s="239"/>
      <c r="DR25" s="238"/>
      <c r="DS25" s="238"/>
      <c r="DT25" s="28" t="str">
        <f t="shared" si="59"/>
        <v/>
      </c>
      <c r="DU25" s="29" t="str">
        <f t="shared" si="27"/>
        <v/>
      </c>
      <c r="DV25" s="29" t="str">
        <f t="shared" si="28"/>
        <v/>
      </c>
      <c r="DW25" s="29" t="str">
        <f t="shared" si="60"/>
        <v/>
      </c>
      <c r="DX25" s="27"/>
      <c r="DY25" s="36"/>
      <c r="DZ25" s="239">
        <v>0.375</v>
      </c>
      <c r="EA25" s="238">
        <v>0.7631944444444444</v>
      </c>
      <c r="EB25" s="238" t="s">
        <v>4</v>
      </c>
      <c r="EC25" s="28">
        <f t="shared" si="61"/>
        <v>0.33333333333333337</v>
      </c>
      <c r="ED25" s="29">
        <f t="shared" si="29"/>
        <v>60.000000000000057</v>
      </c>
      <c r="EE25" s="29" t="str">
        <f t="shared" si="30"/>
        <v/>
      </c>
      <c r="EF25" s="29" t="str">
        <f t="shared" si="62"/>
        <v/>
      </c>
      <c r="EG25" s="27"/>
      <c r="EI25" s="36"/>
      <c r="EK25" s="29">
        <f t="shared" si="31"/>
        <v>839.00000000000068</v>
      </c>
      <c r="EL25" s="29">
        <f t="shared" si="63"/>
        <v>0</v>
      </c>
      <c r="EM25" s="54">
        <f t="shared" si="64"/>
        <v>0</v>
      </c>
      <c r="EN25" s="27">
        <f t="shared" si="32"/>
        <v>0</v>
      </c>
      <c r="EO25" s="54">
        <f t="shared" si="33"/>
        <v>15</v>
      </c>
      <c r="EP25" s="27">
        <f t="shared" si="65"/>
        <v>0</v>
      </c>
      <c r="EQ25" s="27">
        <f t="shared" si="66"/>
        <v>0</v>
      </c>
      <c r="ER25" s="27">
        <f t="shared" si="67"/>
        <v>0</v>
      </c>
      <c r="ES25" s="27">
        <f t="shared" si="68"/>
        <v>0</v>
      </c>
    </row>
    <row r="26" spans="1:149" s="30" customFormat="1" x14ac:dyDescent="0.25">
      <c r="A26" s="37">
        <f t="shared" si="69"/>
        <v>8</v>
      </c>
      <c r="B26" s="33" t="str">
        <f>'1RA QUINCENA JUNIO 26'!B17</f>
        <v>MERCADO SANCHEZ NORMA AURELIA</v>
      </c>
      <c r="C26" s="38">
        <v>2</v>
      </c>
      <c r="D26" s="239">
        <v>0.37083333333333335</v>
      </c>
      <c r="E26" s="238">
        <v>0.76388888888888884</v>
      </c>
      <c r="F26" s="238" t="s">
        <v>4</v>
      </c>
      <c r="G26" s="28">
        <f t="shared" si="34"/>
        <v>0.33750000000000002</v>
      </c>
      <c r="H26" s="29">
        <f t="shared" si="0"/>
        <v>54.000000000000057</v>
      </c>
      <c r="I26" s="29" t="str">
        <f t="shared" si="1"/>
        <v/>
      </c>
      <c r="J26" s="29" t="str">
        <f t="shared" si="2"/>
        <v/>
      </c>
      <c r="K26" s="27"/>
      <c r="L26" s="36"/>
      <c r="M26" s="239">
        <v>0.38333333333333336</v>
      </c>
      <c r="N26" s="238">
        <v>0.75972222222222219</v>
      </c>
      <c r="O26" s="238" t="s">
        <v>4</v>
      </c>
      <c r="P26" s="28">
        <f t="shared" si="35"/>
        <v>0.32500000000000001</v>
      </c>
      <c r="Q26" s="29">
        <f t="shared" si="3"/>
        <v>72.000000000000114</v>
      </c>
      <c r="R26" s="29" t="str">
        <f t="shared" si="4"/>
        <v/>
      </c>
      <c r="S26" s="29" t="str">
        <f t="shared" si="36"/>
        <v/>
      </c>
      <c r="T26" s="27"/>
      <c r="U26" s="36"/>
      <c r="V26" s="239">
        <v>0.38472222222222224</v>
      </c>
      <c r="W26" s="238">
        <v>0.76041666666666663</v>
      </c>
      <c r="X26" s="238" t="s">
        <v>4</v>
      </c>
      <c r="Y26" s="28">
        <f t="shared" si="37"/>
        <v>0.32361111111111113</v>
      </c>
      <c r="Z26" s="29">
        <f t="shared" si="5"/>
        <v>74.000000000000114</v>
      </c>
      <c r="AA26" s="29" t="str">
        <f t="shared" si="6"/>
        <v/>
      </c>
      <c r="AB26" s="29" t="str">
        <f t="shared" si="38"/>
        <v/>
      </c>
      <c r="AC26" s="27"/>
      <c r="AD26" s="36"/>
      <c r="AE26" s="239">
        <v>0.38472222222222224</v>
      </c>
      <c r="AF26" s="238">
        <v>0.75694444444444442</v>
      </c>
      <c r="AG26" s="238" t="s">
        <v>4</v>
      </c>
      <c r="AH26" s="28">
        <f t="shared" si="39"/>
        <v>0.32361111111111113</v>
      </c>
      <c r="AI26" s="29">
        <f t="shared" si="7"/>
        <v>74.000000000000114</v>
      </c>
      <c r="AJ26" s="29" t="str">
        <f t="shared" si="8"/>
        <v/>
      </c>
      <c r="AK26" s="29" t="str">
        <f t="shared" si="40"/>
        <v/>
      </c>
      <c r="AL26" s="27"/>
      <c r="AM26" s="36"/>
      <c r="AN26" s="239">
        <v>0.37916666666666665</v>
      </c>
      <c r="AO26" s="238">
        <v>0.76458333333333328</v>
      </c>
      <c r="AP26" s="238" t="s">
        <v>4</v>
      </c>
      <c r="AQ26" s="28">
        <f t="shared" si="41"/>
        <v>0.32916666666666672</v>
      </c>
      <c r="AR26" s="29">
        <f t="shared" si="9"/>
        <v>66.000000000000057</v>
      </c>
      <c r="AS26" s="29" t="str">
        <f t="shared" si="10"/>
        <v/>
      </c>
      <c r="AT26" s="29" t="str">
        <f t="shared" si="42"/>
        <v/>
      </c>
      <c r="AU26" s="27"/>
      <c r="AV26" s="36"/>
      <c r="AW26" s="239"/>
      <c r="AX26" s="238"/>
      <c r="AY26" s="238"/>
      <c r="AZ26" s="28" t="str">
        <f t="shared" si="43"/>
        <v/>
      </c>
      <c r="BA26" s="29" t="str">
        <f t="shared" si="11"/>
        <v/>
      </c>
      <c r="BB26" s="29" t="str">
        <f t="shared" si="12"/>
        <v/>
      </c>
      <c r="BC26" s="29" t="str">
        <f t="shared" si="44"/>
        <v/>
      </c>
      <c r="BD26" s="27"/>
      <c r="BE26" s="36"/>
      <c r="BF26" s="239"/>
      <c r="BG26" s="238"/>
      <c r="BH26" s="238"/>
      <c r="BI26" s="28" t="str">
        <f t="shared" si="45"/>
        <v/>
      </c>
      <c r="BJ26" s="29" t="str">
        <f t="shared" si="13"/>
        <v/>
      </c>
      <c r="BK26" s="29" t="str">
        <f t="shared" si="14"/>
        <v/>
      </c>
      <c r="BL26" s="29" t="str">
        <f t="shared" si="46"/>
        <v/>
      </c>
      <c r="BM26" s="27"/>
      <c r="BN26" s="36"/>
      <c r="BO26" s="259">
        <v>0.37986111111111109</v>
      </c>
      <c r="BP26" s="260">
        <v>0.69444444444444442</v>
      </c>
      <c r="BQ26" s="238" t="s">
        <v>4</v>
      </c>
      <c r="BR26" s="28">
        <f t="shared" si="47"/>
        <v>0.2729166666666667</v>
      </c>
      <c r="BS26" s="29">
        <f t="shared" si="15"/>
        <v>147.00000000000006</v>
      </c>
      <c r="BT26" s="29" t="str">
        <f t="shared" si="16"/>
        <v/>
      </c>
      <c r="BU26" s="29" t="str">
        <f t="shared" si="48"/>
        <v/>
      </c>
      <c r="BV26" s="27"/>
      <c r="BW26" s="36"/>
      <c r="BX26" s="239">
        <v>0.35833333333333334</v>
      </c>
      <c r="BY26" s="238">
        <v>0.79166666666666663</v>
      </c>
      <c r="BZ26" s="238" t="s">
        <v>11</v>
      </c>
      <c r="CA26" s="28">
        <f t="shared" si="49"/>
        <v>0.39166666666666666</v>
      </c>
      <c r="CB26" s="29">
        <f t="shared" si="17"/>
        <v>0</v>
      </c>
      <c r="CC26" s="29">
        <f t="shared" si="18"/>
        <v>23.999999999999886</v>
      </c>
      <c r="CD26" s="29" t="str">
        <f t="shared" si="50"/>
        <v/>
      </c>
      <c r="CE26" s="27"/>
      <c r="CF26" s="36"/>
      <c r="CG26" s="239">
        <v>0.375</v>
      </c>
      <c r="CH26" s="238">
        <v>0.75902777777777775</v>
      </c>
      <c r="CI26" s="238" t="s">
        <v>4</v>
      </c>
      <c r="CJ26" s="28">
        <f t="shared" si="51"/>
        <v>0.33333333333333337</v>
      </c>
      <c r="CK26" s="29">
        <f t="shared" si="19"/>
        <v>60.000000000000057</v>
      </c>
      <c r="CL26" s="29" t="str">
        <f t="shared" si="20"/>
        <v/>
      </c>
      <c r="CM26" s="29" t="str">
        <f t="shared" si="52"/>
        <v/>
      </c>
      <c r="CN26" s="27"/>
      <c r="CO26" s="36"/>
      <c r="CP26" s="239">
        <v>0.31597222222222221</v>
      </c>
      <c r="CQ26" s="238">
        <v>0.76388888888888884</v>
      </c>
      <c r="CR26" s="238" t="s">
        <v>4</v>
      </c>
      <c r="CS26" s="28">
        <f t="shared" si="53"/>
        <v>0.37500000000000006</v>
      </c>
      <c r="CT26" s="29">
        <f t="shared" si="21"/>
        <v>0</v>
      </c>
      <c r="CU26" s="29" t="str">
        <f t="shared" si="22"/>
        <v/>
      </c>
      <c r="CV26" s="29" t="str">
        <f t="shared" si="54"/>
        <v/>
      </c>
      <c r="CW26" s="27"/>
      <c r="CX26" s="36"/>
      <c r="CY26" s="239">
        <v>0.3756944444444445</v>
      </c>
      <c r="CZ26" s="238">
        <v>0.7631944444444444</v>
      </c>
      <c r="DA26" s="238" t="s">
        <v>4</v>
      </c>
      <c r="DB26" s="28">
        <f t="shared" si="55"/>
        <v>0.33263888888888887</v>
      </c>
      <c r="DC26" s="29">
        <f t="shared" si="23"/>
        <v>61.000000000000114</v>
      </c>
      <c r="DD26" s="29" t="str">
        <f t="shared" si="24"/>
        <v/>
      </c>
      <c r="DE26" s="29" t="str">
        <f t="shared" si="56"/>
        <v/>
      </c>
      <c r="DF26" s="27"/>
      <c r="DG26" s="36"/>
      <c r="DH26" s="239"/>
      <c r="DI26" s="238"/>
      <c r="DJ26" s="238"/>
      <c r="DK26" s="28" t="str">
        <f t="shared" si="57"/>
        <v/>
      </c>
      <c r="DL26" s="29" t="str">
        <f t="shared" si="25"/>
        <v/>
      </c>
      <c r="DM26" s="29" t="str">
        <f t="shared" si="26"/>
        <v/>
      </c>
      <c r="DN26" s="29" t="str">
        <f t="shared" si="58"/>
        <v/>
      </c>
      <c r="DO26" s="27"/>
      <c r="DP26" s="36"/>
      <c r="DQ26" s="239"/>
      <c r="DR26" s="238"/>
      <c r="DS26" s="238"/>
      <c r="DT26" s="28" t="str">
        <f t="shared" si="59"/>
        <v/>
      </c>
      <c r="DU26" s="29" t="str">
        <f t="shared" si="27"/>
        <v/>
      </c>
      <c r="DV26" s="29" t="str">
        <f t="shared" si="28"/>
        <v/>
      </c>
      <c r="DW26" s="29" t="str">
        <f t="shared" si="60"/>
        <v/>
      </c>
      <c r="DX26" s="27"/>
      <c r="DY26" s="36"/>
      <c r="DZ26" s="239">
        <v>0.37152777777777779</v>
      </c>
      <c r="EA26" s="238">
        <v>0.7631944444444444</v>
      </c>
      <c r="EB26" s="238" t="s">
        <v>4</v>
      </c>
      <c r="EC26" s="28">
        <f t="shared" si="61"/>
        <v>0.33680555555555558</v>
      </c>
      <c r="ED26" s="29">
        <f t="shared" si="29"/>
        <v>55.000000000000057</v>
      </c>
      <c r="EE26" s="29" t="str">
        <f t="shared" si="30"/>
        <v/>
      </c>
      <c r="EF26" s="29" t="str">
        <f t="shared" si="62"/>
        <v/>
      </c>
      <c r="EG26" s="27"/>
      <c r="EI26" s="36"/>
      <c r="EK26" s="29">
        <f t="shared" si="31"/>
        <v>663.00000000000068</v>
      </c>
      <c r="EL26" s="29">
        <f t="shared" si="63"/>
        <v>23.999999999999886</v>
      </c>
      <c r="EM26" s="54">
        <f t="shared" si="64"/>
        <v>1</v>
      </c>
      <c r="EN26" s="27">
        <f t="shared" si="32"/>
        <v>0</v>
      </c>
      <c r="EO26" s="54">
        <f t="shared" si="33"/>
        <v>15</v>
      </c>
      <c r="EP26" s="27">
        <f t="shared" si="65"/>
        <v>0</v>
      </c>
      <c r="EQ26" s="27">
        <f t="shared" si="66"/>
        <v>0</v>
      </c>
      <c r="ER26" s="27">
        <f t="shared" si="67"/>
        <v>0</v>
      </c>
      <c r="ES26" s="27">
        <f t="shared" si="68"/>
        <v>0</v>
      </c>
    </row>
    <row r="27" spans="1:149" s="30" customFormat="1" x14ac:dyDescent="0.25">
      <c r="A27" s="37" t="s">
        <v>11</v>
      </c>
      <c r="B27" s="33" t="str">
        <f>'1RA QUINCENA JUNIO 26'!B18</f>
        <v>MONTENEGRO OBLITAS GROVER MANUEL</v>
      </c>
      <c r="C27" s="38">
        <v>1</v>
      </c>
      <c r="D27" s="239">
        <v>0.32500000000000001</v>
      </c>
      <c r="E27" s="238">
        <v>0.77430555555555558</v>
      </c>
      <c r="F27" s="238" t="s">
        <v>11</v>
      </c>
      <c r="G27" s="28">
        <f>IF(OR(K27="VACACIONES",K27="FALTA",K27="LICENCIA",D27="",E27=""),"",IF(WEEKDAY($D$17,2)&gt;5,E27-D27,IF(F27="NO",MIN(E27,CHOOSE($C27,$C$3,$C$4))-MAX(D27,CHOOSE($C27,$B$3,$B$4))-CHOOSE($C27,$F$3,$F$4),E27-D27-CHOOSE($C27,$F$3,$F$4))))</f>
        <v>0.40763888888888894</v>
      </c>
      <c r="H27" s="29">
        <f t="shared" si="0"/>
        <v>0</v>
      </c>
      <c r="I27" s="29">
        <f t="shared" si="1"/>
        <v>10.000000000000114</v>
      </c>
      <c r="J27" s="29" t="str">
        <f t="shared" si="2"/>
        <v/>
      </c>
      <c r="K27" s="27"/>
      <c r="L27" s="36"/>
      <c r="M27" s="239">
        <v>0.3263888888888889</v>
      </c>
      <c r="N27" s="238">
        <v>0.77916666666666667</v>
      </c>
      <c r="O27" s="238" t="s">
        <v>11</v>
      </c>
      <c r="P27" s="28">
        <f t="shared" si="35"/>
        <v>0.41111111111111115</v>
      </c>
      <c r="Q27" s="29">
        <f t="shared" si="3"/>
        <v>0</v>
      </c>
      <c r="R27" s="29">
        <f t="shared" si="4"/>
        <v>15</v>
      </c>
      <c r="S27" s="29" t="str">
        <f t="shared" si="36"/>
        <v/>
      </c>
      <c r="T27" s="27"/>
      <c r="U27" s="36"/>
      <c r="V27" s="239">
        <v>0.31527777777777777</v>
      </c>
      <c r="W27" s="238">
        <v>0.79861111111111116</v>
      </c>
      <c r="X27" s="238" t="s">
        <v>11</v>
      </c>
      <c r="Y27" s="28">
        <f t="shared" si="37"/>
        <v>0.44166666666666676</v>
      </c>
      <c r="Z27" s="29">
        <f t="shared" si="5"/>
        <v>0</v>
      </c>
      <c r="AA27" s="29">
        <f t="shared" si="6"/>
        <v>59.000000000000114</v>
      </c>
      <c r="AB27" s="29" t="str">
        <f t="shared" si="38"/>
        <v/>
      </c>
      <c r="AC27" s="27"/>
      <c r="AD27" s="36"/>
      <c r="AE27" s="239">
        <v>0.31388888888888888</v>
      </c>
      <c r="AF27" s="238">
        <v>0.79861111111111116</v>
      </c>
      <c r="AG27" s="238" t="s">
        <v>11</v>
      </c>
      <c r="AH27" s="28">
        <f t="shared" si="39"/>
        <v>0.44305555555555565</v>
      </c>
      <c r="AI27" s="29">
        <f t="shared" si="7"/>
        <v>0</v>
      </c>
      <c r="AJ27" s="29">
        <f t="shared" si="8"/>
        <v>61.000000000000114</v>
      </c>
      <c r="AK27" s="29" t="str">
        <f t="shared" si="40"/>
        <v/>
      </c>
      <c r="AL27" s="27"/>
      <c r="AM27" s="36"/>
      <c r="AN27" s="239">
        <v>0.30763888888888891</v>
      </c>
      <c r="AO27" s="238">
        <v>0.79861111111111116</v>
      </c>
      <c r="AP27" s="238" t="s">
        <v>11</v>
      </c>
      <c r="AQ27" s="28">
        <f t="shared" si="41"/>
        <v>0.44930555555555562</v>
      </c>
      <c r="AR27" s="29">
        <f t="shared" si="9"/>
        <v>0</v>
      </c>
      <c r="AS27" s="29">
        <f t="shared" si="10"/>
        <v>70.000000000000114</v>
      </c>
      <c r="AT27" s="29" t="str">
        <f t="shared" si="42"/>
        <v/>
      </c>
      <c r="AU27" s="27"/>
      <c r="AV27" s="36"/>
      <c r="AW27" s="239">
        <v>0.30902777777777779</v>
      </c>
      <c r="AX27" s="238">
        <v>0.55763888888888891</v>
      </c>
      <c r="AY27" s="238"/>
      <c r="AZ27" s="28">
        <f t="shared" si="43"/>
        <v>0.24861111111111112</v>
      </c>
      <c r="BA27" s="29" t="str">
        <f t="shared" si="11"/>
        <v/>
      </c>
      <c r="BB27" s="29" t="str">
        <f t="shared" si="12"/>
        <v/>
      </c>
      <c r="BC27" s="29">
        <f t="shared" si="44"/>
        <v>358</v>
      </c>
      <c r="BD27" s="27" t="s">
        <v>157</v>
      </c>
      <c r="BE27" s="36"/>
      <c r="BF27" s="239"/>
      <c r="BG27" s="238"/>
      <c r="BH27" s="238"/>
      <c r="BI27" s="28" t="str">
        <f t="shared" si="45"/>
        <v/>
      </c>
      <c r="BJ27" s="29" t="str">
        <f t="shared" si="13"/>
        <v/>
      </c>
      <c r="BK27" s="29" t="str">
        <f t="shared" si="14"/>
        <v/>
      </c>
      <c r="BL27" s="29" t="str">
        <f t="shared" si="46"/>
        <v/>
      </c>
      <c r="BM27" s="27"/>
      <c r="BN27" s="36"/>
      <c r="BO27" s="239">
        <v>0.31944444444444442</v>
      </c>
      <c r="BP27" s="238">
        <v>0.76041666666666663</v>
      </c>
      <c r="BQ27" s="238" t="s">
        <v>4</v>
      </c>
      <c r="BR27" s="28">
        <f t="shared" si="47"/>
        <v>0.38888888888888895</v>
      </c>
      <c r="BS27" s="29">
        <f t="shared" si="15"/>
        <v>16.999999999999886</v>
      </c>
      <c r="BT27" s="29" t="str">
        <f t="shared" si="16"/>
        <v/>
      </c>
      <c r="BU27" s="29" t="str">
        <f t="shared" si="48"/>
        <v/>
      </c>
      <c r="BV27" s="27"/>
      <c r="BW27" s="36"/>
      <c r="BX27" s="239">
        <v>0.3125</v>
      </c>
      <c r="BY27" s="238">
        <v>0.79861111111111116</v>
      </c>
      <c r="BZ27" s="238" t="s">
        <v>11</v>
      </c>
      <c r="CA27" s="28">
        <f t="shared" si="49"/>
        <v>0.44444444444444453</v>
      </c>
      <c r="CB27" s="29">
        <f t="shared" si="17"/>
        <v>0</v>
      </c>
      <c r="CC27" s="29">
        <f t="shared" si="18"/>
        <v>63.000000000000114</v>
      </c>
      <c r="CD27" s="29" t="str">
        <f t="shared" si="50"/>
        <v/>
      </c>
      <c r="CE27" s="27"/>
      <c r="CF27" s="36"/>
      <c r="CG27" s="239">
        <v>0.31111111111111112</v>
      </c>
      <c r="CH27" s="238">
        <v>0.7597222222222223</v>
      </c>
      <c r="CI27" s="238" t="s">
        <v>4</v>
      </c>
      <c r="CJ27" s="28">
        <f t="shared" si="51"/>
        <v>0.39722222222222225</v>
      </c>
      <c r="CK27" s="29">
        <f t="shared" si="19"/>
        <v>5</v>
      </c>
      <c r="CL27" s="29" t="str">
        <f t="shared" si="20"/>
        <v/>
      </c>
      <c r="CM27" s="29" t="str">
        <f t="shared" si="52"/>
        <v/>
      </c>
      <c r="CN27" s="27"/>
      <c r="CO27" s="36"/>
      <c r="CP27" s="239">
        <v>0.28263888888888888</v>
      </c>
      <c r="CQ27" s="238">
        <v>0.75902777777777775</v>
      </c>
      <c r="CR27" s="238" t="s">
        <v>4</v>
      </c>
      <c r="CS27" s="28">
        <f t="shared" si="53"/>
        <v>0.40069444444444446</v>
      </c>
      <c r="CT27" s="29">
        <f t="shared" si="21"/>
        <v>0</v>
      </c>
      <c r="CU27" s="29" t="str">
        <f t="shared" si="22"/>
        <v/>
      </c>
      <c r="CV27" s="29" t="str">
        <f t="shared" si="54"/>
        <v/>
      </c>
      <c r="CW27" s="27"/>
      <c r="CX27" s="36"/>
      <c r="CY27" s="239">
        <v>0.31527777777777777</v>
      </c>
      <c r="CZ27" s="238">
        <v>0.79861111111111116</v>
      </c>
      <c r="DA27" s="238" t="s">
        <v>11</v>
      </c>
      <c r="DB27" s="28">
        <f t="shared" si="55"/>
        <v>0.44166666666666676</v>
      </c>
      <c r="DC27" s="29">
        <f t="shared" si="23"/>
        <v>0</v>
      </c>
      <c r="DD27" s="29">
        <f t="shared" si="24"/>
        <v>59.000000000000114</v>
      </c>
      <c r="DE27" s="29" t="str">
        <f t="shared" si="56"/>
        <v/>
      </c>
      <c r="DF27" s="27"/>
      <c r="DG27" s="36"/>
      <c r="DH27" s="239">
        <v>0.31111111111111112</v>
      </c>
      <c r="DI27" s="238">
        <v>0.5493055555555556</v>
      </c>
      <c r="DJ27" s="238"/>
      <c r="DK27" s="28">
        <f t="shared" si="57"/>
        <v>0.23819444444444449</v>
      </c>
      <c r="DL27" s="29" t="str">
        <f t="shared" si="25"/>
        <v/>
      </c>
      <c r="DM27" s="29" t="str">
        <f t="shared" si="26"/>
        <v/>
      </c>
      <c r="DN27" s="29">
        <f t="shared" si="58"/>
        <v>343.00000000000006</v>
      </c>
      <c r="DO27" s="27" t="s">
        <v>157</v>
      </c>
      <c r="DP27" s="36"/>
      <c r="DQ27" s="239"/>
      <c r="DR27" s="238"/>
      <c r="DS27" s="238"/>
      <c r="DT27" s="28" t="str">
        <f t="shared" si="59"/>
        <v/>
      </c>
      <c r="DU27" s="29" t="str">
        <f t="shared" si="27"/>
        <v/>
      </c>
      <c r="DV27" s="29" t="str">
        <f t="shared" si="28"/>
        <v/>
      </c>
      <c r="DW27" s="29" t="str">
        <f t="shared" si="60"/>
        <v/>
      </c>
      <c r="DX27" s="27"/>
      <c r="DY27" s="36"/>
      <c r="DZ27" s="239">
        <v>0.31388888888888888</v>
      </c>
      <c r="EA27" s="238">
        <v>0.79861111111111116</v>
      </c>
      <c r="EB27" s="238" t="s">
        <v>11</v>
      </c>
      <c r="EC27" s="28">
        <f t="shared" si="61"/>
        <v>0.44305555555555565</v>
      </c>
      <c r="ED27" s="29">
        <f t="shared" si="29"/>
        <v>0</v>
      </c>
      <c r="EE27" s="29">
        <f t="shared" si="30"/>
        <v>61.000000000000114</v>
      </c>
      <c r="EF27" s="29" t="str">
        <f t="shared" si="62"/>
        <v/>
      </c>
      <c r="EG27" s="27"/>
      <c r="EI27" s="36"/>
      <c r="EK27" s="29">
        <f t="shared" si="31"/>
        <v>21.999999999999886</v>
      </c>
      <c r="EL27" s="29">
        <f t="shared" si="63"/>
        <v>1099.0000000000009</v>
      </c>
      <c r="EM27" s="54">
        <f t="shared" si="64"/>
        <v>10</v>
      </c>
      <c r="EN27" s="27">
        <f t="shared" si="32"/>
        <v>0</v>
      </c>
      <c r="EO27" s="54">
        <f t="shared" si="33"/>
        <v>15</v>
      </c>
      <c r="EP27" s="27">
        <f t="shared" si="65"/>
        <v>2</v>
      </c>
      <c r="EQ27" s="27">
        <f t="shared" si="66"/>
        <v>0</v>
      </c>
      <c r="ER27" s="27">
        <f t="shared" si="67"/>
        <v>0</v>
      </c>
      <c r="ES27" s="27">
        <f t="shared" si="68"/>
        <v>0</v>
      </c>
    </row>
    <row r="28" spans="1:149" s="30" customFormat="1" x14ac:dyDescent="0.25">
      <c r="A28" s="37" t="e">
        <f t="shared" si="69"/>
        <v>#VALUE!</v>
      </c>
      <c r="B28" s="33" t="str">
        <f>'1RA QUINCENA JUNIO 26'!B19</f>
        <v>PEÑALOZA CAMPOS, FRANK KEVHIN</v>
      </c>
      <c r="C28" s="38">
        <v>1</v>
      </c>
      <c r="D28" s="239">
        <v>0.30763888888888891</v>
      </c>
      <c r="E28" s="238">
        <v>0.77430555555555558</v>
      </c>
      <c r="F28" s="238" t="s">
        <v>4</v>
      </c>
      <c r="G28" s="28">
        <f t="shared" si="34"/>
        <v>0.40069444444444446</v>
      </c>
      <c r="H28" s="29">
        <f t="shared" si="0"/>
        <v>0</v>
      </c>
      <c r="I28" s="29" t="str">
        <f t="shared" si="1"/>
        <v/>
      </c>
      <c r="J28" s="29" t="str">
        <f t="shared" si="2"/>
        <v/>
      </c>
      <c r="K28" s="27"/>
      <c r="L28" s="36"/>
      <c r="M28" s="239">
        <v>0.30763888888888891</v>
      </c>
      <c r="N28" s="238">
        <v>0.76944444444444449</v>
      </c>
      <c r="O28" s="238" t="s">
        <v>4</v>
      </c>
      <c r="P28" s="28">
        <f t="shared" si="35"/>
        <v>0.40069444444444446</v>
      </c>
      <c r="Q28" s="29">
        <f t="shared" si="3"/>
        <v>0</v>
      </c>
      <c r="R28" s="29" t="str">
        <f t="shared" si="4"/>
        <v/>
      </c>
      <c r="S28" s="29" t="str">
        <f t="shared" si="36"/>
        <v/>
      </c>
      <c r="T28" s="27"/>
      <c r="U28" s="36"/>
      <c r="V28" s="239">
        <v>0.30763888888888891</v>
      </c>
      <c r="W28" s="238">
        <v>0.77361111111111114</v>
      </c>
      <c r="X28" s="238" t="s">
        <v>4</v>
      </c>
      <c r="Y28" s="28">
        <f t="shared" si="37"/>
        <v>0.40069444444444446</v>
      </c>
      <c r="Z28" s="29">
        <f t="shared" si="5"/>
        <v>0</v>
      </c>
      <c r="AA28" s="29" t="str">
        <f t="shared" si="6"/>
        <v/>
      </c>
      <c r="AB28" s="29" t="str">
        <f t="shared" si="38"/>
        <v/>
      </c>
      <c r="AC28" s="27"/>
      <c r="AD28" s="36"/>
      <c r="AE28" s="239">
        <v>0.30763888888888891</v>
      </c>
      <c r="AF28" s="238">
        <v>0.76875000000000004</v>
      </c>
      <c r="AG28" s="238" t="s">
        <v>4</v>
      </c>
      <c r="AH28" s="28">
        <f t="shared" si="39"/>
        <v>0.40069444444444446</v>
      </c>
      <c r="AI28" s="29">
        <f t="shared" si="7"/>
        <v>0</v>
      </c>
      <c r="AJ28" s="29" t="str">
        <f t="shared" si="8"/>
        <v/>
      </c>
      <c r="AK28" s="29" t="str">
        <f t="shared" si="40"/>
        <v/>
      </c>
      <c r="AL28" s="27"/>
      <c r="AM28" s="36"/>
      <c r="AN28" s="239">
        <v>0.30763888888888891</v>
      </c>
      <c r="AO28" s="238">
        <v>0.77083333333333337</v>
      </c>
      <c r="AP28" s="238" t="s">
        <v>4</v>
      </c>
      <c r="AQ28" s="28">
        <f t="shared" si="41"/>
        <v>0.40069444444444446</v>
      </c>
      <c r="AR28" s="29">
        <f t="shared" si="9"/>
        <v>0</v>
      </c>
      <c r="AS28" s="29" t="str">
        <f t="shared" si="10"/>
        <v/>
      </c>
      <c r="AT28" s="29" t="str">
        <f t="shared" si="42"/>
        <v/>
      </c>
      <c r="AU28" s="27"/>
      <c r="AV28" s="36"/>
      <c r="AW28" s="239">
        <v>0.27847222222222223</v>
      </c>
      <c r="AX28" s="238">
        <v>0.56041666666666667</v>
      </c>
      <c r="AY28" s="238"/>
      <c r="AZ28" s="28">
        <f t="shared" si="43"/>
        <v>0.28194444444444444</v>
      </c>
      <c r="BA28" s="29" t="str">
        <f t="shared" si="11"/>
        <v/>
      </c>
      <c r="BB28" s="29" t="str">
        <f t="shared" si="12"/>
        <v/>
      </c>
      <c r="BC28" s="29">
        <f t="shared" si="44"/>
        <v>406</v>
      </c>
      <c r="BD28" s="27" t="s">
        <v>157</v>
      </c>
      <c r="BE28" s="36"/>
      <c r="BF28" s="239"/>
      <c r="BG28" s="238"/>
      <c r="BH28" s="238"/>
      <c r="BI28" s="28" t="str">
        <f t="shared" si="45"/>
        <v/>
      </c>
      <c r="BJ28" s="29" t="str">
        <f t="shared" si="13"/>
        <v/>
      </c>
      <c r="BK28" s="29" t="str">
        <f t="shared" si="14"/>
        <v/>
      </c>
      <c r="BL28" s="29" t="str">
        <f t="shared" si="46"/>
        <v/>
      </c>
      <c r="BM28" s="27"/>
      <c r="BN28" s="36"/>
      <c r="BO28" s="239">
        <v>0.30763888888888891</v>
      </c>
      <c r="BP28" s="238">
        <v>0.7729166666666667</v>
      </c>
      <c r="BQ28" s="238" t="s">
        <v>4</v>
      </c>
      <c r="BR28" s="28">
        <f t="shared" si="47"/>
        <v>0.40069444444444446</v>
      </c>
      <c r="BS28" s="29">
        <f t="shared" si="15"/>
        <v>0</v>
      </c>
      <c r="BT28" s="29" t="str">
        <f t="shared" si="16"/>
        <v/>
      </c>
      <c r="BU28" s="29" t="str">
        <f t="shared" si="48"/>
        <v/>
      </c>
      <c r="BV28" s="27"/>
      <c r="BW28" s="36"/>
      <c r="BX28" s="239">
        <v>0.30763888888888891</v>
      </c>
      <c r="BY28" s="238">
        <v>0.79861111111111116</v>
      </c>
      <c r="BZ28" s="238" t="s">
        <v>11</v>
      </c>
      <c r="CA28" s="28">
        <f t="shared" si="49"/>
        <v>0.44930555555555562</v>
      </c>
      <c r="CB28" s="29">
        <f t="shared" si="17"/>
        <v>0</v>
      </c>
      <c r="CC28" s="29">
        <f t="shared" si="18"/>
        <v>70.000000000000114</v>
      </c>
      <c r="CD28" s="29" t="str">
        <f t="shared" si="50"/>
        <v/>
      </c>
      <c r="CE28" s="27"/>
      <c r="CF28" s="36"/>
      <c r="CG28" s="239">
        <v>0.27777777777777779</v>
      </c>
      <c r="CH28" s="238">
        <v>0.77847222222222223</v>
      </c>
      <c r="CI28" s="238" t="s">
        <v>4</v>
      </c>
      <c r="CJ28" s="28">
        <f t="shared" si="51"/>
        <v>0.40069444444444446</v>
      </c>
      <c r="CK28" s="29">
        <f t="shared" si="19"/>
        <v>0</v>
      </c>
      <c r="CL28" s="29" t="str">
        <f t="shared" si="20"/>
        <v/>
      </c>
      <c r="CM28" s="29" t="str">
        <f t="shared" si="52"/>
        <v/>
      </c>
      <c r="CN28" s="27"/>
      <c r="CO28" s="36"/>
      <c r="CP28" s="239">
        <v>0.30416666666666664</v>
      </c>
      <c r="CQ28" s="238">
        <v>0.75347222222222221</v>
      </c>
      <c r="CR28" s="238" t="s">
        <v>4</v>
      </c>
      <c r="CS28" s="28">
        <f t="shared" si="53"/>
        <v>0.40069444444444446</v>
      </c>
      <c r="CT28" s="29">
        <f t="shared" si="21"/>
        <v>0</v>
      </c>
      <c r="CU28" s="29" t="str">
        <f t="shared" si="22"/>
        <v/>
      </c>
      <c r="CV28" s="29" t="str">
        <f t="shared" si="54"/>
        <v/>
      </c>
      <c r="CW28" s="27"/>
      <c r="CX28" s="36"/>
      <c r="CY28" s="239">
        <v>0.27638888888888885</v>
      </c>
      <c r="CZ28" s="238">
        <v>0.78472222222222221</v>
      </c>
      <c r="DA28" s="238" t="s">
        <v>4</v>
      </c>
      <c r="DB28" s="28">
        <f t="shared" si="55"/>
        <v>0.40069444444444446</v>
      </c>
      <c r="DC28" s="29">
        <f t="shared" si="23"/>
        <v>0</v>
      </c>
      <c r="DD28" s="29" t="str">
        <f t="shared" si="24"/>
        <v/>
      </c>
      <c r="DE28" s="29" t="str">
        <f t="shared" si="56"/>
        <v/>
      </c>
      <c r="DF28" s="27"/>
      <c r="DG28" s="36"/>
      <c r="DH28" s="239">
        <v>0.28125</v>
      </c>
      <c r="DI28" s="238">
        <v>0.55625000000000002</v>
      </c>
      <c r="DJ28" s="238"/>
      <c r="DK28" s="28">
        <f t="shared" si="57"/>
        <v>0.27500000000000002</v>
      </c>
      <c r="DL28" s="29" t="str">
        <f t="shared" si="25"/>
        <v/>
      </c>
      <c r="DM28" s="29" t="str">
        <f t="shared" si="26"/>
        <v/>
      </c>
      <c r="DN28" s="29">
        <f t="shared" si="58"/>
        <v>396.00000000000006</v>
      </c>
      <c r="DO28" s="27" t="s">
        <v>157</v>
      </c>
      <c r="DP28" s="36"/>
      <c r="DQ28" s="239"/>
      <c r="DR28" s="238"/>
      <c r="DS28" s="238"/>
      <c r="DT28" s="28" t="str">
        <f t="shared" si="59"/>
        <v/>
      </c>
      <c r="DU28" s="29" t="str">
        <f t="shared" si="27"/>
        <v/>
      </c>
      <c r="DV28" s="29" t="str">
        <f t="shared" si="28"/>
        <v/>
      </c>
      <c r="DW28" s="29" t="str">
        <f t="shared" si="60"/>
        <v/>
      </c>
      <c r="DX28" s="27"/>
      <c r="DY28" s="36"/>
      <c r="DZ28" s="239">
        <v>0.27986111111111112</v>
      </c>
      <c r="EA28" s="238">
        <v>0.77361111111111114</v>
      </c>
      <c r="EB28" s="238" t="s">
        <v>4</v>
      </c>
      <c r="EC28" s="28">
        <f t="shared" si="61"/>
        <v>0.40069444444444446</v>
      </c>
      <c r="ED28" s="29">
        <f t="shared" si="29"/>
        <v>0</v>
      </c>
      <c r="EE28" s="29" t="str">
        <f t="shared" si="30"/>
        <v/>
      </c>
      <c r="EF28" s="29" t="str">
        <f t="shared" si="62"/>
        <v/>
      </c>
      <c r="EG28" s="27"/>
      <c r="EI28" s="36"/>
      <c r="EK28" s="29">
        <f t="shared" si="31"/>
        <v>0</v>
      </c>
      <c r="EL28" s="29">
        <f t="shared" si="63"/>
        <v>872.00000000000023</v>
      </c>
      <c r="EM28" s="54">
        <f t="shared" si="64"/>
        <v>3</v>
      </c>
      <c r="EN28" s="27">
        <f t="shared" si="32"/>
        <v>0</v>
      </c>
      <c r="EO28" s="54">
        <f t="shared" si="33"/>
        <v>15</v>
      </c>
      <c r="EP28" s="27">
        <f t="shared" si="65"/>
        <v>2</v>
      </c>
      <c r="EQ28" s="27">
        <f t="shared" si="66"/>
        <v>0</v>
      </c>
      <c r="ER28" s="27">
        <f t="shared" si="67"/>
        <v>0</v>
      </c>
      <c r="ES28" s="27">
        <f t="shared" si="68"/>
        <v>0</v>
      </c>
    </row>
    <row r="29" spans="1:149" s="30" customFormat="1" x14ac:dyDescent="0.25">
      <c r="A29" s="37" t="e">
        <f t="shared" si="69"/>
        <v>#VALUE!</v>
      </c>
      <c r="B29" s="33" t="str">
        <f>'1RA QUINCENA JUNIO 26'!B20</f>
        <v>SANCHEZ MUEDAS FIDEL</v>
      </c>
      <c r="C29" s="38">
        <v>1</v>
      </c>
      <c r="D29" s="239">
        <v>0.30763888888888891</v>
      </c>
      <c r="E29" s="238">
        <v>0.77430555555555558</v>
      </c>
      <c r="F29" s="238" t="s">
        <v>4</v>
      </c>
      <c r="G29" s="28">
        <f t="shared" si="34"/>
        <v>0.40069444444444446</v>
      </c>
      <c r="H29" s="29">
        <f t="shared" si="0"/>
        <v>0</v>
      </c>
      <c r="I29" s="29" t="str">
        <f t="shared" si="1"/>
        <v/>
      </c>
      <c r="J29" s="29" t="str">
        <f t="shared" si="2"/>
        <v/>
      </c>
      <c r="K29" s="27"/>
      <c r="L29" s="36"/>
      <c r="M29" s="239">
        <v>0.30763888888888891</v>
      </c>
      <c r="N29" s="238">
        <v>0.75694444444444442</v>
      </c>
      <c r="O29" s="238" t="s">
        <v>4</v>
      </c>
      <c r="P29" s="28">
        <f t="shared" si="35"/>
        <v>0.40069444444444446</v>
      </c>
      <c r="Q29" s="29">
        <f t="shared" si="3"/>
        <v>0</v>
      </c>
      <c r="R29" s="29" t="str">
        <f t="shared" si="4"/>
        <v/>
      </c>
      <c r="S29" s="29" t="str">
        <f t="shared" si="36"/>
        <v/>
      </c>
      <c r="T29" s="27"/>
      <c r="U29" s="36"/>
      <c r="V29" s="239">
        <v>0.30763888888888891</v>
      </c>
      <c r="W29" s="238">
        <v>0.75763888888888886</v>
      </c>
      <c r="X29" s="238" t="s">
        <v>4</v>
      </c>
      <c r="Y29" s="28">
        <f t="shared" si="37"/>
        <v>0.40069444444444446</v>
      </c>
      <c r="Z29" s="29">
        <f t="shared" si="5"/>
        <v>0</v>
      </c>
      <c r="AA29" s="29" t="str">
        <f t="shared" si="6"/>
        <v/>
      </c>
      <c r="AB29" s="29" t="str">
        <f t="shared" si="38"/>
        <v/>
      </c>
      <c r="AC29" s="27"/>
      <c r="AD29" s="36"/>
      <c r="AE29" s="239">
        <v>0.30763888888888891</v>
      </c>
      <c r="AF29" s="238">
        <v>0.79861111111111116</v>
      </c>
      <c r="AG29" s="238" t="s">
        <v>11</v>
      </c>
      <c r="AH29" s="28">
        <f t="shared" si="39"/>
        <v>0.44930555555555562</v>
      </c>
      <c r="AI29" s="29">
        <f t="shared" si="7"/>
        <v>0</v>
      </c>
      <c r="AJ29" s="29">
        <f t="shared" si="8"/>
        <v>70.000000000000114</v>
      </c>
      <c r="AK29" s="29" t="str">
        <f t="shared" si="40"/>
        <v/>
      </c>
      <c r="AL29" s="27"/>
      <c r="AM29" s="36"/>
      <c r="AN29" s="239">
        <v>0.30763888888888891</v>
      </c>
      <c r="AO29" s="238">
        <v>0.74375000000000002</v>
      </c>
      <c r="AP29" s="238" t="s">
        <v>4</v>
      </c>
      <c r="AQ29" s="28">
        <f t="shared" si="41"/>
        <v>0.39444444444444449</v>
      </c>
      <c r="AR29" s="29">
        <f t="shared" si="9"/>
        <v>8.9999999999998863</v>
      </c>
      <c r="AS29" s="29" t="str">
        <f t="shared" si="10"/>
        <v/>
      </c>
      <c r="AT29" s="29" t="str">
        <f t="shared" si="42"/>
        <v/>
      </c>
      <c r="AU29" s="27"/>
      <c r="AV29" s="36"/>
      <c r="AW29" s="239"/>
      <c r="AX29" s="238"/>
      <c r="AY29" s="238"/>
      <c r="AZ29" s="28" t="str">
        <f t="shared" si="43"/>
        <v/>
      </c>
      <c r="BA29" s="29" t="str">
        <f t="shared" si="11"/>
        <v/>
      </c>
      <c r="BB29" s="29" t="str">
        <f t="shared" si="12"/>
        <v/>
      </c>
      <c r="BC29" s="29" t="str">
        <f t="shared" si="44"/>
        <v/>
      </c>
      <c r="BD29" s="27"/>
      <c r="BE29" s="36"/>
      <c r="BF29" s="239"/>
      <c r="BG29" s="238"/>
      <c r="BH29" s="238"/>
      <c r="BI29" s="28" t="str">
        <f t="shared" si="45"/>
        <v/>
      </c>
      <c r="BJ29" s="29" t="str">
        <f t="shared" si="13"/>
        <v/>
      </c>
      <c r="BK29" s="29" t="str">
        <f t="shared" si="14"/>
        <v/>
      </c>
      <c r="BL29" s="29" t="str">
        <f t="shared" si="46"/>
        <v/>
      </c>
      <c r="BM29" s="27"/>
      <c r="BN29" s="36"/>
      <c r="BO29" s="239">
        <v>0.30763888888888891</v>
      </c>
      <c r="BP29" s="238">
        <v>0.75347222222222221</v>
      </c>
      <c r="BQ29" s="238" t="s">
        <v>4</v>
      </c>
      <c r="BR29" s="28">
        <f t="shared" si="47"/>
        <v>0.40069444444444446</v>
      </c>
      <c r="BS29" s="29">
        <f t="shared" si="15"/>
        <v>0</v>
      </c>
      <c r="BT29" s="29" t="str">
        <f t="shared" si="16"/>
        <v/>
      </c>
      <c r="BU29" s="29" t="str">
        <f t="shared" si="48"/>
        <v/>
      </c>
      <c r="BV29" s="27"/>
      <c r="BW29" s="36"/>
      <c r="BX29" s="239">
        <v>0.30763888888888891</v>
      </c>
      <c r="BY29" s="238">
        <v>0.75347222222222221</v>
      </c>
      <c r="BZ29" s="238" t="s">
        <v>4</v>
      </c>
      <c r="CA29" s="28">
        <f t="shared" si="49"/>
        <v>0.40069444444444446</v>
      </c>
      <c r="CB29" s="29">
        <f t="shared" si="17"/>
        <v>0</v>
      </c>
      <c r="CC29" s="29" t="str">
        <f t="shared" si="18"/>
        <v/>
      </c>
      <c r="CD29" s="29" t="str">
        <f t="shared" si="50"/>
        <v/>
      </c>
      <c r="CE29" s="27"/>
      <c r="CF29" s="36"/>
      <c r="CG29" s="239">
        <v>0.33402777777777781</v>
      </c>
      <c r="CH29" s="238">
        <v>0.75902777777777775</v>
      </c>
      <c r="CI29" s="238" t="s">
        <v>4</v>
      </c>
      <c r="CJ29" s="28">
        <f t="shared" si="51"/>
        <v>0.37430555555555556</v>
      </c>
      <c r="CK29" s="29">
        <f t="shared" si="19"/>
        <v>38</v>
      </c>
      <c r="CL29" s="29" t="str">
        <f t="shared" si="20"/>
        <v/>
      </c>
      <c r="CM29" s="29" t="str">
        <f t="shared" si="52"/>
        <v/>
      </c>
      <c r="CN29" s="27"/>
      <c r="CO29" s="36"/>
      <c r="CP29" s="239">
        <v>0.27083333333333331</v>
      </c>
      <c r="CQ29" s="238">
        <v>0.75347222222222221</v>
      </c>
      <c r="CR29" s="238" t="s">
        <v>4</v>
      </c>
      <c r="CS29" s="28">
        <f t="shared" si="53"/>
        <v>0.40069444444444446</v>
      </c>
      <c r="CT29" s="29">
        <f t="shared" si="21"/>
        <v>0</v>
      </c>
      <c r="CU29" s="29" t="str">
        <f t="shared" si="22"/>
        <v/>
      </c>
      <c r="CV29" s="29" t="str">
        <f t="shared" si="54"/>
        <v/>
      </c>
      <c r="CW29" s="27"/>
      <c r="CX29" s="36"/>
      <c r="CY29" s="239">
        <v>0.31319444444444444</v>
      </c>
      <c r="CZ29" s="238">
        <v>0.7597222222222223</v>
      </c>
      <c r="DA29" s="238" t="s">
        <v>4</v>
      </c>
      <c r="DB29" s="28">
        <f t="shared" si="55"/>
        <v>0.39513888888888893</v>
      </c>
      <c r="DC29" s="29">
        <f t="shared" si="23"/>
        <v>8</v>
      </c>
      <c r="DD29" s="29" t="str">
        <f t="shared" si="24"/>
        <v/>
      </c>
      <c r="DE29" s="29" t="str">
        <f t="shared" si="56"/>
        <v/>
      </c>
      <c r="DF29" s="27"/>
      <c r="DG29" s="36"/>
      <c r="DH29" s="239"/>
      <c r="DI29" s="238"/>
      <c r="DJ29" s="238"/>
      <c r="DK29" s="28" t="str">
        <f t="shared" si="57"/>
        <v/>
      </c>
      <c r="DL29" s="29" t="str">
        <f t="shared" si="25"/>
        <v/>
      </c>
      <c r="DM29" s="29" t="str">
        <f t="shared" si="26"/>
        <v/>
      </c>
      <c r="DN29" s="29" t="str">
        <f t="shared" si="58"/>
        <v/>
      </c>
      <c r="DO29" s="27"/>
      <c r="DP29" s="36"/>
      <c r="DQ29" s="239"/>
      <c r="DR29" s="238"/>
      <c r="DS29" s="238"/>
      <c r="DT29" s="28" t="str">
        <f t="shared" si="59"/>
        <v/>
      </c>
      <c r="DU29" s="29" t="str">
        <f t="shared" si="27"/>
        <v/>
      </c>
      <c r="DV29" s="29" t="str">
        <f t="shared" si="28"/>
        <v/>
      </c>
      <c r="DW29" s="29" t="str">
        <f t="shared" si="60"/>
        <v/>
      </c>
      <c r="DX29" s="27"/>
      <c r="DY29" s="36"/>
      <c r="DZ29" s="239">
        <v>0.30763888888888891</v>
      </c>
      <c r="EA29" s="238">
        <v>0.7597222222222223</v>
      </c>
      <c r="EB29" s="238" t="s">
        <v>4</v>
      </c>
      <c r="EC29" s="28">
        <f t="shared" si="61"/>
        <v>0.40069444444444446</v>
      </c>
      <c r="ED29" s="29">
        <f t="shared" si="29"/>
        <v>0</v>
      </c>
      <c r="EE29" s="29" t="str">
        <f t="shared" si="30"/>
        <v/>
      </c>
      <c r="EF29" s="29" t="str">
        <f t="shared" si="62"/>
        <v/>
      </c>
      <c r="EG29" s="27"/>
      <c r="EI29" s="36"/>
      <c r="EK29" s="29">
        <f t="shared" si="31"/>
        <v>54.999999999999886</v>
      </c>
      <c r="EL29" s="29">
        <f t="shared" si="63"/>
        <v>70.000000000000114</v>
      </c>
      <c r="EM29" s="54">
        <f t="shared" si="64"/>
        <v>1</v>
      </c>
      <c r="EN29" s="27">
        <f t="shared" si="32"/>
        <v>0</v>
      </c>
      <c r="EO29" s="54">
        <f t="shared" si="33"/>
        <v>15</v>
      </c>
      <c r="EP29" s="27">
        <f t="shared" si="65"/>
        <v>0</v>
      </c>
      <c r="EQ29" s="27">
        <f t="shared" si="66"/>
        <v>0</v>
      </c>
      <c r="ER29" s="27">
        <f t="shared" si="67"/>
        <v>0</v>
      </c>
      <c r="ES29" s="27">
        <f t="shared" si="68"/>
        <v>0</v>
      </c>
    </row>
    <row r="30" spans="1:149" s="30" customFormat="1" x14ac:dyDescent="0.25">
      <c r="A30" s="37" t="e">
        <f t="shared" si="69"/>
        <v>#VALUE!</v>
      </c>
      <c r="B30" s="33" t="str">
        <f>'1RA QUINCENA JUNIO 26'!B21</f>
        <v>SEVERICHE CARLOS ANGELICA JESUS</v>
      </c>
      <c r="C30" s="38">
        <v>2</v>
      </c>
      <c r="D30" s="239">
        <v>0.33333333333333331</v>
      </c>
      <c r="E30" s="238">
        <v>0.75</v>
      </c>
      <c r="F30" s="238" t="s">
        <v>4</v>
      </c>
      <c r="G30" s="28">
        <f t="shared" si="34"/>
        <v>0.37500000000000006</v>
      </c>
      <c r="H30" s="29">
        <f t="shared" si="0"/>
        <v>0</v>
      </c>
      <c r="I30" s="29" t="str">
        <f t="shared" si="1"/>
        <v/>
      </c>
      <c r="J30" s="29" t="str">
        <f t="shared" si="2"/>
        <v/>
      </c>
      <c r="K30" s="27"/>
      <c r="L30" s="36"/>
      <c r="M30" s="239">
        <v>0.33333333333333331</v>
      </c>
      <c r="N30" s="238">
        <v>0.75</v>
      </c>
      <c r="O30" s="238" t="s">
        <v>4</v>
      </c>
      <c r="P30" s="28">
        <f t="shared" si="35"/>
        <v>0.37500000000000006</v>
      </c>
      <c r="Q30" s="29">
        <f t="shared" si="3"/>
        <v>0</v>
      </c>
      <c r="R30" s="29" t="str">
        <f t="shared" si="4"/>
        <v/>
      </c>
      <c r="S30" s="29" t="str">
        <f t="shared" si="36"/>
        <v/>
      </c>
      <c r="T30" s="27"/>
      <c r="U30" s="36"/>
      <c r="V30" s="239">
        <v>0.33333333333333331</v>
      </c>
      <c r="W30" s="238">
        <v>0.75</v>
      </c>
      <c r="X30" s="238" t="s">
        <v>4</v>
      </c>
      <c r="Y30" s="28">
        <f t="shared" si="37"/>
        <v>0.37500000000000006</v>
      </c>
      <c r="Z30" s="29">
        <f t="shared" si="5"/>
        <v>0</v>
      </c>
      <c r="AA30" s="29" t="str">
        <f t="shared" si="6"/>
        <v/>
      </c>
      <c r="AB30" s="29" t="str">
        <f t="shared" si="38"/>
        <v/>
      </c>
      <c r="AC30" s="27"/>
      <c r="AD30" s="36"/>
      <c r="AE30" s="239">
        <v>0.33333333333333331</v>
      </c>
      <c r="AF30" s="238">
        <v>0.75</v>
      </c>
      <c r="AG30" s="238" t="s">
        <v>4</v>
      </c>
      <c r="AH30" s="28">
        <f t="shared" si="39"/>
        <v>0.37500000000000006</v>
      </c>
      <c r="AI30" s="29">
        <f t="shared" si="7"/>
        <v>0</v>
      </c>
      <c r="AJ30" s="29" t="str">
        <f t="shared" si="8"/>
        <v/>
      </c>
      <c r="AK30" s="29" t="str">
        <f t="shared" si="40"/>
        <v/>
      </c>
      <c r="AL30" s="27"/>
      <c r="AM30" s="36"/>
      <c r="AN30" s="239">
        <v>0.33333333333333331</v>
      </c>
      <c r="AO30" s="238">
        <v>0.75</v>
      </c>
      <c r="AP30" s="238" t="s">
        <v>4</v>
      </c>
      <c r="AQ30" s="28">
        <f t="shared" si="41"/>
        <v>0.37500000000000006</v>
      </c>
      <c r="AR30" s="29">
        <f t="shared" si="9"/>
        <v>0</v>
      </c>
      <c r="AS30" s="29" t="str">
        <f t="shared" si="10"/>
        <v/>
      </c>
      <c r="AT30" s="29" t="str">
        <f t="shared" si="42"/>
        <v/>
      </c>
      <c r="AU30" s="27"/>
      <c r="AV30" s="36"/>
      <c r="AW30" s="239"/>
      <c r="AX30" s="238"/>
      <c r="AY30" s="238"/>
      <c r="AZ30" s="28" t="str">
        <f t="shared" si="43"/>
        <v/>
      </c>
      <c r="BA30" s="29" t="str">
        <f t="shared" si="11"/>
        <v/>
      </c>
      <c r="BB30" s="29" t="str">
        <f t="shared" si="12"/>
        <v/>
      </c>
      <c r="BC30" s="29" t="str">
        <f t="shared" si="44"/>
        <v/>
      </c>
      <c r="BD30" s="27"/>
      <c r="BE30" s="36"/>
      <c r="BF30" s="239"/>
      <c r="BG30" s="238"/>
      <c r="BH30" s="238"/>
      <c r="BI30" s="28" t="str">
        <f t="shared" si="45"/>
        <v/>
      </c>
      <c r="BJ30" s="29" t="str">
        <f t="shared" si="13"/>
        <v/>
      </c>
      <c r="BK30" s="29" t="str">
        <f t="shared" si="14"/>
        <v/>
      </c>
      <c r="BL30" s="29" t="str">
        <f t="shared" si="46"/>
        <v/>
      </c>
      <c r="BM30" s="27"/>
      <c r="BN30" s="36"/>
      <c r="BO30" s="239">
        <v>0.33333333333333331</v>
      </c>
      <c r="BP30" s="238">
        <v>0.75</v>
      </c>
      <c r="BQ30" s="238" t="s">
        <v>4</v>
      </c>
      <c r="BR30" s="28">
        <f t="shared" si="47"/>
        <v>0.37500000000000006</v>
      </c>
      <c r="BS30" s="29">
        <f t="shared" si="15"/>
        <v>0</v>
      </c>
      <c r="BT30" s="29" t="str">
        <f t="shared" si="16"/>
        <v/>
      </c>
      <c r="BU30" s="29" t="str">
        <f t="shared" si="48"/>
        <v/>
      </c>
      <c r="BV30" s="27"/>
      <c r="BW30" s="36"/>
      <c r="BX30" s="239">
        <v>0.33333333333333331</v>
      </c>
      <c r="BY30" s="238">
        <v>0.75</v>
      </c>
      <c r="BZ30" s="238" t="s">
        <v>4</v>
      </c>
      <c r="CA30" s="28">
        <f t="shared" si="49"/>
        <v>0.37500000000000006</v>
      </c>
      <c r="CB30" s="29">
        <f t="shared" si="17"/>
        <v>0</v>
      </c>
      <c r="CC30" s="29" t="str">
        <f t="shared" si="18"/>
        <v/>
      </c>
      <c r="CD30" s="29" t="str">
        <f t="shared" si="50"/>
        <v/>
      </c>
      <c r="CE30" s="27"/>
      <c r="CF30" s="36"/>
      <c r="CG30" s="239">
        <v>0.33333333333333331</v>
      </c>
      <c r="CH30" s="238">
        <v>0.75</v>
      </c>
      <c r="CI30" s="238" t="s">
        <v>4</v>
      </c>
      <c r="CJ30" s="28">
        <f t="shared" si="51"/>
        <v>0.37500000000000006</v>
      </c>
      <c r="CK30" s="29">
        <f t="shared" si="19"/>
        <v>0</v>
      </c>
      <c r="CL30" s="29" t="str">
        <f t="shared" si="20"/>
        <v/>
      </c>
      <c r="CM30" s="29" t="str">
        <f t="shared" si="52"/>
        <v/>
      </c>
      <c r="CN30" s="27"/>
      <c r="CO30" s="36"/>
      <c r="CP30" s="239">
        <v>0.33333333333333331</v>
      </c>
      <c r="CQ30" s="238">
        <v>0.75</v>
      </c>
      <c r="CR30" s="238" t="s">
        <v>4</v>
      </c>
      <c r="CS30" s="28">
        <f t="shared" si="53"/>
        <v>0.37500000000000006</v>
      </c>
      <c r="CT30" s="29">
        <f t="shared" si="21"/>
        <v>0</v>
      </c>
      <c r="CU30" s="29" t="str">
        <f t="shared" si="22"/>
        <v/>
      </c>
      <c r="CV30" s="29" t="str">
        <f t="shared" si="54"/>
        <v/>
      </c>
      <c r="CW30" s="27"/>
      <c r="CX30" s="36"/>
      <c r="CY30" s="239">
        <v>0.33333333333333331</v>
      </c>
      <c r="CZ30" s="238">
        <v>0.75</v>
      </c>
      <c r="DA30" s="238" t="s">
        <v>4</v>
      </c>
      <c r="DB30" s="28">
        <f t="shared" si="55"/>
        <v>0.37500000000000006</v>
      </c>
      <c r="DC30" s="29">
        <f t="shared" si="23"/>
        <v>0</v>
      </c>
      <c r="DD30" s="29" t="str">
        <f t="shared" si="24"/>
        <v/>
      </c>
      <c r="DE30" s="29" t="str">
        <f t="shared" si="56"/>
        <v/>
      </c>
      <c r="DF30" s="27"/>
      <c r="DG30" s="36"/>
      <c r="DH30" s="239"/>
      <c r="DI30" s="238"/>
      <c r="DJ30" s="238"/>
      <c r="DK30" s="28" t="str">
        <f t="shared" si="57"/>
        <v/>
      </c>
      <c r="DL30" s="29" t="str">
        <f t="shared" si="25"/>
        <v/>
      </c>
      <c r="DM30" s="29" t="str">
        <f t="shared" si="26"/>
        <v/>
      </c>
      <c r="DN30" s="29" t="str">
        <f t="shared" si="58"/>
        <v/>
      </c>
      <c r="DO30" s="27"/>
      <c r="DP30" s="36"/>
      <c r="DQ30" s="239"/>
      <c r="DR30" s="238"/>
      <c r="DS30" s="238"/>
      <c r="DT30" s="28" t="str">
        <f t="shared" si="59"/>
        <v/>
      </c>
      <c r="DU30" s="29" t="str">
        <f t="shared" si="27"/>
        <v/>
      </c>
      <c r="DV30" s="29" t="str">
        <f t="shared" si="28"/>
        <v/>
      </c>
      <c r="DW30" s="29" t="str">
        <f t="shared" si="60"/>
        <v/>
      </c>
      <c r="DX30" s="27"/>
      <c r="DY30" s="36"/>
      <c r="DZ30" s="239">
        <v>0.33333333333333331</v>
      </c>
      <c r="EA30" s="238">
        <v>0.75</v>
      </c>
      <c r="EB30" s="238" t="s">
        <v>4</v>
      </c>
      <c r="EC30" s="28">
        <f t="shared" si="61"/>
        <v>0.37500000000000006</v>
      </c>
      <c r="ED30" s="29">
        <f t="shared" si="29"/>
        <v>0</v>
      </c>
      <c r="EE30" s="29" t="str">
        <f t="shared" si="30"/>
        <v/>
      </c>
      <c r="EF30" s="29" t="str">
        <f t="shared" si="62"/>
        <v/>
      </c>
      <c r="EG30" s="27"/>
      <c r="EI30" s="36"/>
      <c r="EK30" s="29">
        <f t="shared" si="31"/>
        <v>0</v>
      </c>
      <c r="EL30" s="29">
        <f t="shared" si="63"/>
        <v>0</v>
      </c>
      <c r="EM30" s="54">
        <f t="shared" si="64"/>
        <v>0</v>
      </c>
      <c r="EN30" s="27">
        <f t="shared" si="32"/>
        <v>0</v>
      </c>
      <c r="EO30" s="54">
        <f t="shared" si="33"/>
        <v>15</v>
      </c>
      <c r="EP30" s="27">
        <f t="shared" si="65"/>
        <v>0</v>
      </c>
      <c r="EQ30" s="27">
        <f t="shared" si="66"/>
        <v>0</v>
      </c>
      <c r="ER30" s="27">
        <f t="shared" si="67"/>
        <v>0</v>
      </c>
      <c r="ES30" s="27">
        <f t="shared" si="68"/>
        <v>0</v>
      </c>
    </row>
    <row r="31" spans="1:149" s="30" customFormat="1" x14ac:dyDescent="0.25">
      <c r="A31" s="37" t="e">
        <f t="shared" si="69"/>
        <v>#VALUE!</v>
      </c>
      <c r="B31" s="33" t="str">
        <f>'1RA QUINCENA JUNIO 26'!B22</f>
        <v>TENORIO MARTINEZ DE CISNEROS RUTH LOURDES</v>
      </c>
      <c r="C31" s="38">
        <v>1</v>
      </c>
      <c r="D31" s="239">
        <v>0.30763888888888891</v>
      </c>
      <c r="E31" s="238">
        <v>0.75</v>
      </c>
      <c r="F31" s="238" t="s">
        <v>4</v>
      </c>
      <c r="G31" s="28">
        <f t="shared" si="34"/>
        <v>0.40069444444444446</v>
      </c>
      <c r="H31" s="29">
        <f t="shared" si="0"/>
        <v>0</v>
      </c>
      <c r="I31" s="29" t="str">
        <f t="shared" si="1"/>
        <v/>
      </c>
      <c r="J31" s="29" t="str">
        <f t="shared" si="2"/>
        <v/>
      </c>
      <c r="K31" s="27"/>
      <c r="L31" s="36"/>
      <c r="M31" s="239">
        <v>0.30763888888888891</v>
      </c>
      <c r="N31" s="238">
        <v>0.75</v>
      </c>
      <c r="O31" s="238" t="s">
        <v>4</v>
      </c>
      <c r="P31" s="28">
        <f t="shared" si="35"/>
        <v>0.40069444444444446</v>
      </c>
      <c r="Q31" s="29">
        <f t="shared" si="3"/>
        <v>0</v>
      </c>
      <c r="R31" s="29" t="str">
        <f t="shared" si="4"/>
        <v/>
      </c>
      <c r="S31" s="29" t="str">
        <f t="shared" si="36"/>
        <v/>
      </c>
      <c r="T31" s="27"/>
      <c r="U31" s="36"/>
      <c r="V31" s="239">
        <v>0.30763888888888891</v>
      </c>
      <c r="W31" s="238">
        <v>0.75</v>
      </c>
      <c r="X31" s="238" t="s">
        <v>4</v>
      </c>
      <c r="Y31" s="28">
        <f t="shared" si="37"/>
        <v>0.40069444444444446</v>
      </c>
      <c r="Z31" s="29">
        <f t="shared" si="5"/>
        <v>0</v>
      </c>
      <c r="AA31" s="29" t="str">
        <f t="shared" si="6"/>
        <v/>
      </c>
      <c r="AB31" s="29" t="str">
        <f t="shared" si="38"/>
        <v/>
      </c>
      <c r="AC31" s="27"/>
      <c r="AD31" s="36"/>
      <c r="AE31" s="239">
        <v>0.30763888888888891</v>
      </c>
      <c r="AF31" s="238">
        <v>0.75</v>
      </c>
      <c r="AG31" s="238" t="s">
        <v>4</v>
      </c>
      <c r="AH31" s="28">
        <f t="shared" si="39"/>
        <v>0.40069444444444446</v>
      </c>
      <c r="AI31" s="29">
        <f t="shared" si="7"/>
        <v>0</v>
      </c>
      <c r="AJ31" s="29" t="str">
        <f t="shared" si="8"/>
        <v/>
      </c>
      <c r="AK31" s="29" t="str">
        <f t="shared" si="40"/>
        <v/>
      </c>
      <c r="AL31" s="27"/>
      <c r="AM31" s="36"/>
      <c r="AN31" s="239">
        <v>0.30763888888888891</v>
      </c>
      <c r="AO31" s="238">
        <v>0.75</v>
      </c>
      <c r="AP31" s="238" t="s">
        <v>4</v>
      </c>
      <c r="AQ31" s="28">
        <f t="shared" si="41"/>
        <v>0.40069444444444446</v>
      </c>
      <c r="AR31" s="29">
        <f t="shared" si="9"/>
        <v>0</v>
      </c>
      <c r="AS31" s="29" t="str">
        <f t="shared" si="10"/>
        <v/>
      </c>
      <c r="AT31" s="29" t="str">
        <f t="shared" si="42"/>
        <v/>
      </c>
      <c r="AU31" s="27"/>
      <c r="AV31" s="36"/>
      <c r="AW31" s="239"/>
      <c r="AX31" s="238"/>
      <c r="AY31" s="238"/>
      <c r="AZ31" s="28" t="str">
        <f t="shared" si="43"/>
        <v/>
      </c>
      <c r="BA31" s="29" t="str">
        <f t="shared" si="11"/>
        <v/>
      </c>
      <c r="BB31" s="29" t="str">
        <f t="shared" si="12"/>
        <v/>
      </c>
      <c r="BC31" s="29" t="str">
        <f t="shared" si="44"/>
        <v/>
      </c>
      <c r="BD31" s="27"/>
      <c r="BE31" s="36"/>
      <c r="BF31" s="239"/>
      <c r="BG31" s="238"/>
      <c r="BH31" s="238"/>
      <c r="BI31" s="28" t="str">
        <f t="shared" si="45"/>
        <v/>
      </c>
      <c r="BJ31" s="29" t="str">
        <f t="shared" si="13"/>
        <v/>
      </c>
      <c r="BK31" s="29" t="str">
        <f t="shared" si="14"/>
        <v/>
      </c>
      <c r="BL31" s="29" t="str">
        <f t="shared" si="46"/>
        <v/>
      </c>
      <c r="BM31" s="27"/>
      <c r="BN31" s="36"/>
      <c r="BO31" s="239">
        <v>0.30763888888888891</v>
      </c>
      <c r="BP31" s="238">
        <v>0.75</v>
      </c>
      <c r="BQ31" s="238" t="s">
        <v>4</v>
      </c>
      <c r="BR31" s="28">
        <f t="shared" si="47"/>
        <v>0.40069444444444446</v>
      </c>
      <c r="BS31" s="29">
        <f t="shared" si="15"/>
        <v>0</v>
      </c>
      <c r="BT31" s="29" t="str">
        <f t="shared" si="16"/>
        <v/>
      </c>
      <c r="BU31" s="29" t="str">
        <f t="shared" si="48"/>
        <v/>
      </c>
      <c r="BV31" s="27"/>
      <c r="BW31" s="36"/>
      <c r="BX31" s="239">
        <v>0.30763888888888891</v>
      </c>
      <c r="BY31" s="238">
        <v>0.75</v>
      </c>
      <c r="BZ31" s="238" t="s">
        <v>4</v>
      </c>
      <c r="CA31" s="28">
        <f t="shared" si="49"/>
        <v>0.40069444444444446</v>
      </c>
      <c r="CB31" s="29">
        <f t="shared" si="17"/>
        <v>0</v>
      </c>
      <c r="CC31" s="29" t="str">
        <f t="shared" si="18"/>
        <v/>
      </c>
      <c r="CD31" s="29" t="str">
        <f t="shared" si="50"/>
        <v/>
      </c>
      <c r="CE31" s="27"/>
      <c r="CF31" s="36"/>
      <c r="CG31" s="239">
        <v>0.30763888888888891</v>
      </c>
      <c r="CH31" s="238">
        <v>0.75</v>
      </c>
      <c r="CI31" s="238" t="s">
        <v>4</v>
      </c>
      <c r="CJ31" s="28">
        <f t="shared" si="51"/>
        <v>0.40069444444444446</v>
      </c>
      <c r="CK31" s="29">
        <f t="shared" si="19"/>
        <v>0</v>
      </c>
      <c r="CL31" s="29" t="str">
        <f t="shared" si="20"/>
        <v/>
      </c>
      <c r="CM31" s="29" t="str">
        <f t="shared" si="52"/>
        <v/>
      </c>
      <c r="CN31" s="27"/>
      <c r="CO31" s="36"/>
      <c r="CP31" s="239">
        <v>0.30763888888888891</v>
      </c>
      <c r="CQ31" s="238">
        <v>0.75</v>
      </c>
      <c r="CR31" s="238" t="s">
        <v>4</v>
      </c>
      <c r="CS31" s="28">
        <f t="shared" si="53"/>
        <v>0.40069444444444446</v>
      </c>
      <c r="CT31" s="29">
        <f t="shared" si="21"/>
        <v>0</v>
      </c>
      <c r="CU31" s="29" t="str">
        <f t="shared" si="22"/>
        <v/>
      </c>
      <c r="CV31" s="29" t="str">
        <f t="shared" si="54"/>
        <v/>
      </c>
      <c r="CW31" s="27"/>
      <c r="CX31" s="36"/>
      <c r="CY31" s="239">
        <v>0.30763888888888891</v>
      </c>
      <c r="CZ31" s="238">
        <v>0.75</v>
      </c>
      <c r="DA31" s="238" t="s">
        <v>4</v>
      </c>
      <c r="DB31" s="28">
        <f t="shared" si="55"/>
        <v>0.40069444444444446</v>
      </c>
      <c r="DC31" s="29">
        <f t="shared" si="23"/>
        <v>0</v>
      </c>
      <c r="DD31" s="29" t="str">
        <f t="shared" si="24"/>
        <v/>
      </c>
      <c r="DE31" s="29" t="str">
        <f t="shared" si="56"/>
        <v/>
      </c>
      <c r="DF31" s="27"/>
      <c r="DG31" s="36"/>
      <c r="DH31" s="239"/>
      <c r="DI31" s="238"/>
      <c r="DJ31" s="238"/>
      <c r="DK31" s="28" t="str">
        <f t="shared" si="57"/>
        <v/>
      </c>
      <c r="DL31" s="29" t="str">
        <f t="shared" si="25"/>
        <v/>
      </c>
      <c r="DM31" s="29" t="str">
        <f t="shared" si="26"/>
        <v/>
      </c>
      <c r="DN31" s="29" t="str">
        <f t="shared" si="58"/>
        <v/>
      </c>
      <c r="DO31" s="27"/>
      <c r="DP31" s="36"/>
      <c r="DQ31" s="239"/>
      <c r="DR31" s="238"/>
      <c r="DS31" s="238"/>
      <c r="DT31" s="28" t="str">
        <f t="shared" si="59"/>
        <v/>
      </c>
      <c r="DU31" s="29" t="str">
        <f t="shared" si="27"/>
        <v/>
      </c>
      <c r="DV31" s="29" t="str">
        <f t="shared" si="28"/>
        <v/>
      </c>
      <c r="DW31" s="29" t="str">
        <f t="shared" si="60"/>
        <v/>
      </c>
      <c r="DX31" s="27"/>
      <c r="DY31" s="36"/>
      <c r="DZ31" s="239">
        <v>0.27083333333333331</v>
      </c>
      <c r="EA31" s="238">
        <v>0.75</v>
      </c>
      <c r="EB31" s="238" t="s">
        <v>4</v>
      </c>
      <c r="EC31" s="28">
        <f t="shared" si="61"/>
        <v>0.40069444444444446</v>
      </c>
      <c r="ED31" s="29">
        <f t="shared" si="29"/>
        <v>0</v>
      </c>
      <c r="EE31" s="29" t="str">
        <f t="shared" si="30"/>
        <v/>
      </c>
      <c r="EF31" s="29" t="str">
        <f t="shared" si="62"/>
        <v/>
      </c>
      <c r="EG31" s="27"/>
      <c r="EI31" s="36"/>
      <c r="EK31" s="29">
        <f t="shared" si="31"/>
        <v>0</v>
      </c>
      <c r="EL31" s="29">
        <f t="shared" si="63"/>
        <v>0</v>
      </c>
      <c r="EM31" s="54">
        <f t="shared" si="64"/>
        <v>0</v>
      </c>
      <c r="EN31" s="27">
        <f t="shared" si="32"/>
        <v>0</v>
      </c>
      <c r="EO31" s="54">
        <f t="shared" si="33"/>
        <v>15</v>
      </c>
      <c r="EP31" s="27">
        <f t="shared" si="65"/>
        <v>0</v>
      </c>
      <c r="EQ31" s="27">
        <f t="shared" si="66"/>
        <v>0</v>
      </c>
      <c r="ER31" s="27">
        <f t="shared" si="67"/>
        <v>0</v>
      </c>
      <c r="ES31" s="27">
        <f t="shared" si="68"/>
        <v>0</v>
      </c>
    </row>
    <row r="32" spans="1:149" s="30" customFormat="1" x14ac:dyDescent="0.25">
      <c r="A32" s="37" t="e">
        <f t="shared" si="69"/>
        <v>#VALUE!</v>
      </c>
      <c r="B32" s="33" t="str">
        <f>'1RA QUINCENA JUNIO 26'!B23</f>
        <v>VASQUEZ CUNYAS, JOSE EDGAR</v>
      </c>
      <c r="C32" s="38">
        <v>1</v>
      </c>
      <c r="D32" s="239">
        <v>0.30763888888888891</v>
      </c>
      <c r="E32" s="238">
        <v>0.77013888888888893</v>
      </c>
      <c r="F32" s="238" t="s">
        <v>4</v>
      </c>
      <c r="G32" s="28">
        <f t="shared" si="34"/>
        <v>0.40069444444444446</v>
      </c>
      <c r="H32" s="29">
        <f t="shared" si="0"/>
        <v>0</v>
      </c>
      <c r="I32" s="29" t="str">
        <f t="shared" si="1"/>
        <v/>
      </c>
      <c r="J32" s="29" t="str">
        <f t="shared" si="2"/>
        <v/>
      </c>
      <c r="K32" s="27"/>
      <c r="L32" s="36"/>
      <c r="M32" s="239">
        <v>0.30763888888888891</v>
      </c>
      <c r="N32" s="238">
        <v>0.77013888888888893</v>
      </c>
      <c r="O32" s="238" t="s">
        <v>4</v>
      </c>
      <c r="P32" s="28">
        <f t="shared" si="35"/>
        <v>0.40069444444444446</v>
      </c>
      <c r="Q32" s="29">
        <f t="shared" si="3"/>
        <v>0</v>
      </c>
      <c r="R32" s="29" t="str">
        <f t="shared" si="4"/>
        <v/>
      </c>
      <c r="S32" s="29" t="str">
        <f t="shared" si="36"/>
        <v/>
      </c>
      <c r="T32" s="27"/>
      <c r="U32" s="36"/>
      <c r="V32" s="239">
        <v>0.30763888888888891</v>
      </c>
      <c r="W32" s="238">
        <v>0.76388888888888884</v>
      </c>
      <c r="X32" s="238" t="s">
        <v>4</v>
      </c>
      <c r="Y32" s="28">
        <f t="shared" si="37"/>
        <v>0.40069444444444446</v>
      </c>
      <c r="Z32" s="29">
        <f t="shared" si="5"/>
        <v>0</v>
      </c>
      <c r="AA32" s="29" t="str">
        <f t="shared" si="6"/>
        <v/>
      </c>
      <c r="AB32" s="29" t="str">
        <f t="shared" si="38"/>
        <v/>
      </c>
      <c r="AC32" s="27"/>
      <c r="AD32" s="36"/>
      <c r="AE32" s="239">
        <v>0.30763888888888891</v>
      </c>
      <c r="AF32" s="238">
        <v>0.76875000000000004</v>
      </c>
      <c r="AG32" s="238" t="s">
        <v>4</v>
      </c>
      <c r="AH32" s="28">
        <f t="shared" si="39"/>
        <v>0.40069444444444446</v>
      </c>
      <c r="AI32" s="29">
        <f t="shared" si="7"/>
        <v>0</v>
      </c>
      <c r="AJ32" s="29" t="str">
        <f t="shared" si="8"/>
        <v/>
      </c>
      <c r="AK32" s="29" t="str">
        <f t="shared" si="40"/>
        <v/>
      </c>
      <c r="AL32" s="27"/>
      <c r="AM32" s="36"/>
      <c r="AN32" s="239">
        <v>0.30763888888888891</v>
      </c>
      <c r="AO32" s="238">
        <v>0.79861111111111116</v>
      </c>
      <c r="AP32" s="238" t="s">
        <v>11</v>
      </c>
      <c r="AQ32" s="28">
        <f t="shared" si="41"/>
        <v>0.44930555555555562</v>
      </c>
      <c r="AR32" s="29">
        <f t="shared" si="9"/>
        <v>0</v>
      </c>
      <c r="AS32" s="29">
        <f t="shared" si="10"/>
        <v>70.000000000000114</v>
      </c>
      <c r="AT32" s="29" t="str">
        <f t="shared" si="42"/>
        <v/>
      </c>
      <c r="AU32" s="27"/>
      <c r="AV32" s="36"/>
      <c r="AW32" s="239">
        <v>0.3</v>
      </c>
      <c r="AX32" s="238">
        <v>0.57638888888888884</v>
      </c>
      <c r="AY32" s="238"/>
      <c r="AZ32" s="28">
        <f t="shared" si="43"/>
        <v>0.27638888888888885</v>
      </c>
      <c r="BA32" s="29" t="str">
        <f t="shared" si="11"/>
        <v/>
      </c>
      <c r="BB32" s="29" t="str">
        <f t="shared" si="12"/>
        <v/>
      </c>
      <c r="BC32" s="29">
        <f t="shared" si="44"/>
        <v>397.99999999999994</v>
      </c>
      <c r="BD32" s="27" t="s">
        <v>157</v>
      </c>
      <c r="BE32" s="36"/>
      <c r="BF32" s="239"/>
      <c r="BG32" s="238"/>
      <c r="BH32" s="238"/>
      <c r="BI32" s="28" t="str">
        <f t="shared" si="45"/>
        <v/>
      </c>
      <c r="BJ32" s="29" t="str">
        <f t="shared" si="13"/>
        <v/>
      </c>
      <c r="BK32" s="29" t="str">
        <f t="shared" si="14"/>
        <v/>
      </c>
      <c r="BL32" s="29" t="str">
        <f t="shared" si="46"/>
        <v/>
      </c>
      <c r="BM32" s="27"/>
      <c r="BN32" s="36"/>
      <c r="BO32" s="239">
        <v>0.30763888888888891</v>
      </c>
      <c r="BP32" s="238">
        <v>0.75694444444444442</v>
      </c>
      <c r="BQ32" s="238" t="s">
        <v>4</v>
      </c>
      <c r="BR32" s="28">
        <f t="shared" si="47"/>
        <v>0.40069444444444446</v>
      </c>
      <c r="BS32" s="29">
        <f t="shared" si="15"/>
        <v>0</v>
      </c>
      <c r="BT32" s="29" t="str">
        <f t="shared" si="16"/>
        <v/>
      </c>
      <c r="BU32" s="29" t="str">
        <f t="shared" si="48"/>
        <v/>
      </c>
      <c r="BV32" s="27"/>
      <c r="BW32" s="36"/>
      <c r="BX32" s="239">
        <v>0.30763888888888891</v>
      </c>
      <c r="BY32" s="238">
        <v>0.75694444444444442</v>
      </c>
      <c r="BZ32" s="238" t="s">
        <v>4</v>
      </c>
      <c r="CA32" s="28">
        <f t="shared" si="49"/>
        <v>0.40069444444444446</v>
      </c>
      <c r="CB32" s="29">
        <f t="shared" si="17"/>
        <v>0</v>
      </c>
      <c r="CC32" s="29" t="str">
        <f t="shared" si="18"/>
        <v/>
      </c>
      <c r="CD32" s="29" t="str">
        <f t="shared" si="50"/>
        <v/>
      </c>
      <c r="CE32" s="27"/>
      <c r="CF32" s="36"/>
      <c r="CG32" s="239">
        <v>0.2951388888888889</v>
      </c>
      <c r="CH32" s="238">
        <v>0.75694444444444453</v>
      </c>
      <c r="CI32" s="238" t="s">
        <v>4</v>
      </c>
      <c r="CJ32" s="28">
        <f t="shared" si="51"/>
        <v>0.40069444444444446</v>
      </c>
      <c r="CK32" s="29">
        <f t="shared" si="19"/>
        <v>0</v>
      </c>
      <c r="CL32" s="29" t="str">
        <f t="shared" si="20"/>
        <v/>
      </c>
      <c r="CM32" s="29" t="str">
        <f t="shared" si="52"/>
        <v/>
      </c>
      <c r="CN32" s="27"/>
      <c r="CO32" s="36"/>
      <c r="CP32" s="239">
        <v>0.2986111111111111</v>
      </c>
      <c r="CQ32" s="238">
        <v>0.78611111111111109</v>
      </c>
      <c r="CR32" s="238" t="s">
        <v>4</v>
      </c>
      <c r="CS32" s="28">
        <f t="shared" si="53"/>
        <v>0.40069444444444446</v>
      </c>
      <c r="CT32" s="29">
        <f t="shared" si="21"/>
        <v>0</v>
      </c>
      <c r="CU32" s="29" t="str">
        <f t="shared" si="22"/>
        <v/>
      </c>
      <c r="CV32" s="29" t="str">
        <f t="shared" si="54"/>
        <v/>
      </c>
      <c r="CW32" s="27"/>
      <c r="CX32" s="36"/>
      <c r="CY32" s="239">
        <v>0.2986111111111111</v>
      </c>
      <c r="CZ32" s="238">
        <v>0.7597222222222223</v>
      </c>
      <c r="DA32" s="238" t="s">
        <v>4</v>
      </c>
      <c r="DB32" s="28">
        <f t="shared" si="55"/>
        <v>0.40069444444444446</v>
      </c>
      <c r="DC32" s="29">
        <f t="shared" si="23"/>
        <v>0</v>
      </c>
      <c r="DD32" s="29" t="str">
        <f t="shared" si="24"/>
        <v/>
      </c>
      <c r="DE32" s="29" t="str">
        <f t="shared" si="56"/>
        <v/>
      </c>
      <c r="DF32" s="27"/>
      <c r="DG32" s="36"/>
      <c r="DH32" s="239">
        <v>0.30833333333333335</v>
      </c>
      <c r="DI32" s="238">
        <v>0.54999999999999993</v>
      </c>
      <c r="DJ32" s="238"/>
      <c r="DK32" s="28">
        <f t="shared" si="57"/>
        <v>0.24166666666666659</v>
      </c>
      <c r="DL32" s="29" t="str">
        <f t="shared" si="25"/>
        <v/>
      </c>
      <c r="DM32" s="29" t="str">
        <f t="shared" si="26"/>
        <v/>
      </c>
      <c r="DN32" s="29">
        <f t="shared" si="58"/>
        <v>347.99999999999989</v>
      </c>
      <c r="DO32" s="27" t="s">
        <v>157</v>
      </c>
      <c r="DP32" s="36"/>
      <c r="DQ32" s="239"/>
      <c r="DR32" s="238"/>
      <c r="DS32" s="238"/>
      <c r="DT32" s="28" t="str">
        <f t="shared" si="59"/>
        <v/>
      </c>
      <c r="DU32" s="29" t="str">
        <f t="shared" si="27"/>
        <v/>
      </c>
      <c r="DV32" s="29" t="str">
        <f t="shared" si="28"/>
        <v/>
      </c>
      <c r="DW32" s="29" t="str">
        <f t="shared" si="60"/>
        <v/>
      </c>
      <c r="DX32" s="27"/>
      <c r="DY32" s="36"/>
      <c r="DZ32" s="239">
        <v>0.30138888888888887</v>
      </c>
      <c r="EA32" s="238">
        <v>0.7597222222222223</v>
      </c>
      <c r="EB32" s="238" t="s">
        <v>4</v>
      </c>
      <c r="EC32" s="28">
        <f t="shared" si="61"/>
        <v>0.40069444444444446</v>
      </c>
      <c r="ED32" s="29">
        <f t="shared" si="29"/>
        <v>0</v>
      </c>
      <c r="EE32" s="29" t="str">
        <f t="shared" si="30"/>
        <v/>
      </c>
      <c r="EF32" s="29" t="str">
        <f t="shared" si="62"/>
        <v/>
      </c>
      <c r="EG32" s="27"/>
      <c r="EI32" s="36"/>
      <c r="EK32" s="29">
        <f t="shared" si="31"/>
        <v>0</v>
      </c>
      <c r="EL32" s="29">
        <f t="shared" si="63"/>
        <v>816</v>
      </c>
      <c r="EM32" s="54">
        <f t="shared" si="64"/>
        <v>3</v>
      </c>
      <c r="EN32" s="27">
        <f t="shared" si="32"/>
        <v>0</v>
      </c>
      <c r="EO32" s="54">
        <f t="shared" si="33"/>
        <v>15</v>
      </c>
      <c r="EP32" s="27">
        <f t="shared" si="65"/>
        <v>2</v>
      </c>
      <c r="EQ32" s="27">
        <f t="shared" si="66"/>
        <v>0</v>
      </c>
      <c r="ER32" s="27">
        <f t="shared" si="67"/>
        <v>0</v>
      </c>
      <c r="ES32" s="27">
        <f t="shared" si="68"/>
        <v>0</v>
      </c>
    </row>
    <row r="33" spans="1:149" s="30" customFormat="1" x14ac:dyDescent="0.25">
      <c r="A33" s="37" t="e">
        <f t="shared" si="69"/>
        <v>#VALUE!</v>
      </c>
      <c r="B33" s="33" t="str">
        <f>'1RA QUINCENA JUNIO 26'!B24</f>
        <v>ZACARIAS CORONEL MIGUEL ANGEL</v>
      </c>
      <c r="C33" s="38">
        <v>1</v>
      </c>
      <c r="D33" s="239"/>
      <c r="E33" s="238"/>
      <c r="F33" s="238"/>
      <c r="G33" s="28" t="str">
        <f t="shared" si="34"/>
        <v/>
      </c>
      <c r="H33" s="29" t="str">
        <f t="shared" si="0"/>
        <v/>
      </c>
      <c r="I33" s="29" t="str">
        <f t="shared" si="1"/>
        <v/>
      </c>
      <c r="J33" s="29" t="str">
        <f t="shared" si="2"/>
        <v/>
      </c>
      <c r="K33" s="27" t="s">
        <v>143</v>
      </c>
      <c r="L33" s="36"/>
      <c r="M33" s="239"/>
      <c r="N33" s="238"/>
      <c r="O33" s="238"/>
      <c r="P33" s="28" t="str">
        <f t="shared" si="35"/>
        <v/>
      </c>
      <c r="Q33" s="29" t="str">
        <f t="shared" si="3"/>
        <v/>
      </c>
      <c r="R33" s="29" t="str">
        <f t="shared" si="4"/>
        <v/>
      </c>
      <c r="S33" s="29" t="str">
        <f t="shared" si="36"/>
        <v/>
      </c>
      <c r="T33" s="27" t="s">
        <v>143</v>
      </c>
      <c r="U33" s="36"/>
      <c r="V33" s="239">
        <v>0.31666666666666665</v>
      </c>
      <c r="W33" s="238">
        <v>0.76458333333333328</v>
      </c>
      <c r="X33" s="238" t="s">
        <v>4</v>
      </c>
      <c r="Y33" s="28">
        <f t="shared" si="37"/>
        <v>0.39166666666666672</v>
      </c>
      <c r="Z33" s="29">
        <f t="shared" si="5"/>
        <v>12.999999999999886</v>
      </c>
      <c r="AA33" s="29" t="str">
        <f t="shared" si="6"/>
        <v/>
      </c>
      <c r="AB33" s="29" t="str">
        <f t="shared" si="38"/>
        <v/>
      </c>
      <c r="AC33" s="27"/>
      <c r="AD33" s="36"/>
      <c r="AE33" s="239">
        <v>0.31527777777777777</v>
      </c>
      <c r="AF33" s="238">
        <v>0.76666666666666672</v>
      </c>
      <c r="AG33" s="238" t="s">
        <v>4</v>
      </c>
      <c r="AH33" s="28">
        <f t="shared" si="39"/>
        <v>0.3930555555555556</v>
      </c>
      <c r="AI33" s="29">
        <f t="shared" si="7"/>
        <v>10.999999999999886</v>
      </c>
      <c r="AJ33" s="29" t="str">
        <f t="shared" si="8"/>
        <v/>
      </c>
      <c r="AK33" s="29" t="str">
        <f t="shared" si="40"/>
        <v/>
      </c>
      <c r="AL33" s="27"/>
      <c r="AM33" s="36"/>
      <c r="AN33" s="239">
        <v>0.30763888888888891</v>
      </c>
      <c r="AO33" s="238">
        <v>0.77430555555555558</v>
      </c>
      <c r="AP33" s="238" t="s">
        <v>4</v>
      </c>
      <c r="AQ33" s="28">
        <f t="shared" si="41"/>
        <v>0.40069444444444446</v>
      </c>
      <c r="AR33" s="29">
        <f t="shared" si="9"/>
        <v>0</v>
      </c>
      <c r="AS33" s="29" t="str">
        <f t="shared" si="10"/>
        <v/>
      </c>
      <c r="AT33" s="29" t="str">
        <f t="shared" si="42"/>
        <v/>
      </c>
      <c r="AU33" s="27"/>
      <c r="AV33" s="36"/>
      <c r="AW33" s="239">
        <v>0.31527777777777777</v>
      </c>
      <c r="AX33" s="238">
        <v>0.55555555555555558</v>
      </c>
      <c r="AY33" s="238"/>
      <c r="AZ33" s="28">
        <f t="shared" si="43"/>
        <v>0.24027777777777781</v>
      </c>
      <c r="BA33" s="29" t="str">
        <f t="shared" si="11"/>
        <v/>
      </c>
      <c r="BB33" s="29" t="str">
        <f t="shared" si="12"/>
        <v/>
      </c>
      <c r="BC33" s="29">
        <f t="shared" si="44"/>
        <v>346.00000000000006</v>
      </c>
      <c r="BD33" s="27" t="s">
        <v>157</v>
      </c>
      <c r="BE33" s="36"/>
      <c r="BF33" s="239"/>
      <c r="BG33" s="238"/>
      <c r="BH33" s="238"/>
      <c r="BI33" s="28" t="str">
        <f t="shared" si="45"/>
        <v/>
      </c>
      <c r="BJ33" s="29" t="str">
        <f t="shared" si="13"/>
        <v/>
      </c>
      <c r="BK33" s="29" t="str">
        <f t="shared" si="14"/>
        <v/>
      </c>
      <c r="BL33" s="29" t="str">
        <f t="shared" si="46"/>
        <v/>
      </c>
      <c r="BM33" s="27"/>
      <c r="BN33" s="36"/>
      <c r="BO33" s="239">
        <v>0.31944444444444442</v>
      </c>
      <c r="BP33" s="238">
        <v>0.76041666666666663</v>
      </c>
      <c r="BQ33" s="238" t="s">
        <v>4</v>
      </c>
      <c r="BR33" s="28">
        <f t="shared" si="47"/>
        <v>0.38888888888888895</v>
      </c>
      <c r="BS33" s="29">
        <f t="shared" si="15"/>
        <v>16.999999999999886</v>
      </c>
      <c r="BT33" s="29" t="str">
        <f t="shared" si="16"/>
        <v/>
      </c>
      <c r="BU33" s="29" t="str">
        <f t="shared" si="48"/>
        <v/>
      </c>
      <c r="BV33" s="27"/>
      <c r="BW33" s="36"/>
      <c r="BX33" s="239">
        <v>0.30902777777777779</v>
      </c>
      <c r="BY33" s="238">
        <v>0.77777777777777779</v>
      </c>
      <c r="BZ33" s="238" t="s">
        <v>11</v>
      </c>
      <c r="CA33" s="28">
        <f t="shared" si="49"/>
        <v>0.42708333333333337</v>
      </c>
      <c r="CB33" s="29">
        <f t="shared" si="17"/>
        <v>0</v>
      </c>
      <c r="CC33" s="29">
        <f t="shared" si="18"/>
        <v>38</v>
      </c>
      <c r="CD33" s="29" t="str">
        <f t="shared" si="50"/>
        <v/>
      </c>
      <c r="CE33" s="27"/>
      <c r="CF33" s="36"/>
      <c r="CG33" s="239">
        <v>0.31319444444444444</v>
      </c>
      <c r="CH33" s="238">
        <v>0.76250000000000007</v>
      </c>
      <c r="CI33" s="238" t="s">
        <v>4</v>
      </c>
      <c r="CJ33" s="28">
        <f t="shared" si="51"/>
        <v>0.39513888888888893</v>
      </c>
      <c r="CK33" s="29">
        <f t="shared" si="19"/>
        <v>8</v>
      </c>
      <c r="CL33" s="29" t="str">
        <f t="shared" si="20"/>
        <v/>
      </c>
      <c r="CM33" s="29" t="str">
        <f t="shared" si="52"/>
        <v/>
      </c>
      <c r="CN33" s="27"/>
      <c r="CO33" s="36"/>
      <c r="CP33" s="239">
        <v>0.30763888888888891</v>
      </c>
      <c r="CQ33" s="238">
        <v>0.76458333333333339</v>
      </c>
      <c r="CR33" s="238" t="s">
        <v>4</v>
      </c>
      <c r="CS33" s="28">
        <f t="shared" si="53"/>
        <v>0.40069444444444446</v>
      </c>
      <c r="CT33" s="29">
        <f t="shared" si="21"/>
        <v>0</v>
      </c>
      <c r="CU33" s="29" t="str">
        <f t="shared" si="22"/>
        <v/>
      </c>
      <c r="CV33" s="29" t="str">
        <f t="shared" si="54"/>
        <v/>
      </c>
      <c r="CW33" s="27"/>
      <c r="CX33" s="36"/>
      <c r="CY33" s="239">
        <v>0.30972222222222223</v>
      </c>
      <c r="CZ33" s="238">
        <v>0.77916666666666667</v>
      </c>
      <c r="DA33" s="238" t="s">
        <v>4</v>
      </c>
      <c r="DB33" s="28">
        <f t="shared" si="55"/>
        <v>0.39861111111111114</v>
      </c>
      <c r="DC33" s="29">
        <f t="shared" si="23"/>
        <v>3</v>
      </c>
      <c r="DD33" s="29" t="str">
        <f t="shared" si="24"/>
        <v/>
      </c>
      <c r="DE33" s="29" t="str">
        <f t="shared" si="56"/>
        <v/>
      </c>
      <c r="DF33" s="27"/>
      <c r="DG33" s="36"/>
      <c r="DH33" s="239"/>
      <c r="DI33" s="238"/>
      <c r="DJ33" s="238"/>
      <c r="DK33" s="28" t="str">
        <f t="shared" si="57"/>
        <v/>
      </c>
      <c r="DL33" s="29" t="str">
        <f t="shared" si="25"/>
        <v/>
      </c>
      <c r="DM33" s="29" t="str">
        <f t="shared" si="26"/>
        <v/>
      </c>
      <c r="DN33" s="29" t="str">
        <f t="shared" si="58"/>
        <v/>
      </c>
      <c r="DO33" s="27"/>
      <c r="DP33" s="36"/>
      <c r="DQ33" s="239"/>
      <c r="DR33" s="238"/>
      <c r="DS33" s="238"/>
      <c r="DT33" s="28" t="str">
        <f t="shared" si="59"/>
        <v/>
      </c>
      <c r="DU33" s="29" t="str">
        <f t="shared" si="27"/>
        <v/>
      </c>
      <c r="DV33" s="29" t="str">
        <f t="shared" si="28"/>
        <v/>
      </c>
      <c r="DW33" s="29" t="str">
        <f t="shared" si="60"/>
        <v/>
      </c>
      <c r="DX33" s="27"/>
      <c r="DY33" s="36"/>
      <c r="DZ33" s="239">
        <v>0.31319444444444444</v>
      </c>
      <c r="EA33" s="238">
        <v>0.76527777777777772</v>
      </c>
      <c r="EB33" s="238" t="s">
        <v>4</v>
      </c>
      <c r="EC33" s="28">
        <f t="shared" si="61"/>
        <v>0.39513888888888893</v>
      </c>
      <c r="ED33" s="29">
        <f t="shared" si="29"/>
        <v>8</v>
      </c>
      <c r="EE33" s="29" t="str">
        <f t="shared" si="30"/>
        <v/>
      </c>
      <c r="EF33" s="29" t="str">
        <f t="shared" si="62"/>
        <v/>
      </c>
      <c r="EG33" s="27"/>
      <c r="EI33" s="36"/>
      <c r="EK33" s="29">
        <f t="shared" si="31"/>
        <v>59.999999999999659</v>
      </c>
      <c r="EL33" s="29">
        <f t="shared" si="63"/>
        <v>384.00000000000006</v>
      </c>
      <c r="EM33" s="54">
        <f t="shared" si="64"/>
        <v>2</v>
      </c>
      <c r="EN33" s="27">
        <f t="shared" si="32"/>
        <v>2</v>
      </c>
      <c r="EO33" s="54">
        <f t="shared" si="33"/>
        <v>13</v>
      </c>
      <c r="EP33" s="27">
        <f t="shared" si="65"/>
        <v>1</v>
      </c>
      <c r="EQ33" s="27">
        <f t="shared" si="66"/>
        <v>0</v>
      </c>
      <c r="ER33" s="27">
        <f t="shared" si="67"/>
        <v>0</v>
      </c>
      <c r="ES33" s="27">
        <f t="shared" si="68"/>
        <v>0</v>
      </c>
    </row>
    <row r="34" spans="1:149" ht="27.75" customHeight="1" x14ac:dyDescent="0.25"/>
    <row r="35" spans="1:149" s="83" customFormat="1" ht="11.25" customHeight="1" x14ac:dyDescent="0.25">
      <c r="A35" s="82"/>
    </row>
    <row r="36" spans="1:149" s="81" customFormat="1" ht="9" customHeight="1" x14ac:dyDescent="0.25">
      <c r="A36" s="80"/>
    </row>
    <row r="37" spans="1:149" s="85" customFormat="1" ht="12" customHeight="1" x14ac:dyDescent="0.25">
      <c r="A37" s="84"/>
    </row>
  </sheetData>
  <mergeCells count="64">
    <mergeCell ref="CG15:CN15"/>
    <mergeCell ref="EK6:EQ6"/>
    <mergeCell ref="DQ15:DX15"/>
    <mergeCell ref="DZ15:EG15"/>
    <mergeCell ref="CP15:CW15"/>
    <mergeCell ref="CY15:DF15"/>
    <mergeCell ref="DH15:DO15"/>
    <mergeCell ref="EK15:ES15"/>
    <mergeCell ref="M1:O1"/>
    <mergeCell ref="BX15:CE15"/>
    <mergeCell ref="D16:K16"/>
    <mergeCell ref="V16:AC16"/>
    <mergeCell ref="AE15:AL15"/>
    <mergeCell ref="AN15:AU15"/>
    <mergeCell ref="AE16:AL16"/>
    <mergeCell ref="AW15:BD15"/>
    <mergeCell ref="BF15:BM15"/>
    <mergeCell ref="BO15:BV15"/>
    <mergeCell ref="D1:F1"/>
    <mergeCell ref="EQ16:EQ18"/>
    <mergeCell ref="EM16:EM18"/>
    <mergeCell ref="BX16:CE16"/>
    <mergeCell ref="CG16:CN16"/>
    <mergeCell ref="CY16:DF16"/>
    <mergeCell ref="CY17:DF17"/>
    <mergeCell ref="CG17:CN17"/>
    <mergeCell ref="EL16:EL18"/>
    <mergeCell ref="M17:T17"/>
    <mergeCell ref="ES16:ES18"/>
    <mergeCell ref="DH16:DO16"/>
    <mergeCell ref="BX17:CE17"/>
    <mergeCell ref="CP17:CW17"/>
    <mergeCell ref="DQ16:DX16"/>
    <mergeCell ref="DZ16:EG16"/>
    <mergeCell ref="EK16:EK18"/>
    <mergeCell ref="EN16:EN18"/>
    <mergeCell ref="DH17:DO17"/>
    <mergeCell ref="EO16:EO18"/>
    <mergeCell ref="DZ17:EG17"/>
    <mergeCell ref="DQ17:DX17"/>
    <mergeCell ref="BF16:BM16"/>
    <mergeCell ref="ER16:ER18"/>
    <mergeCell ref="EP16:EP18"/>
    <mergeCell ref="B10:C10"/>
    <mergeCell ref="B8:C9"/>
    <mergeCell ref="A8:A9"/>
    <mergeCell ref="V15:AC15"/>
    <mergeCell ref="M15:T15"/>
    <mergeCell ref="D17:K17"/>
    <mergeCell ref="A16:C17"/>
    <mergeCell ref="M2:N2"/>
    <mergeCell ref="CP16:CW16"/>
    <mergeCell ref="AN16:AU16"/>
    <mergeCell ref="AW16:BD16"/>
    <mergeCell ref="M16:T16"/>
    <mergeCell ref="BO16:BV16"/>
    <mergeCell ref="BO17:BV17"/>
    <mergeCell ref="BF17:BM17"/>
    <mergeCell ref="V17:AC17"/>
    <mergeCell ref="AW17:BD17"/>
    <mergeCell ref="AN17:AU17"/>
    <mergeCell ref="AE17:AL17"/>
    <mergeCell ref="D15:K15"/>
    <mergeCell ref="A7:C7"/>
  </mergeCells>
  <conditionalFormatting sqref="D19:D33 G19:M33 P19:V33 Y19:AE33 AH19:AN33 AQ19:AW33 AZ19:BF33 BI19:BO33 BR19:BX33 CA19:CG33 CJ19:CP33 CS19:CY33 DB19:DH33 DK19:DQ33 DT19:DZ33 EC19:EG33">
    <cfRule type="expression" dxfId="25" priority="23">
      <formula>D19="TRABAJO 1RO MAYO EN SU DIA LIBRE"</formula>
    </cfRule>
    <cfRule type="expression" dxfId="24" priority="24">
      <formula>D19="TRABAJO 1RO MAYO"</formula>
    </cfRule>
    <cfRule type="expression" dxfId="23" priority="25">
      <formula>D19="TRABAJO FERIADO"</formula>
    </cfRule>
    <cfRule type="expression" dxfId="22" priority="26">
      <formula>D19="TRABAJO DOMINGO"</formula>
    </cfRule>
    <cfRule type="expression" dxfId="21" priority="27">
      <formula>D19="TRABAJO SABADO"</formula>
    </cfRule>
    <cfRule type="expression" dxfId="20" priority="28">
      <formula>D19="LICENCIA"</formula>
    </cfRule>
    <cfRule type="expression" dxfId="19" priority="29">
      <formula>D19="VACACIONES"</formula>
    </cfRule>
    <cfRule type="expression" dxfId="18" priority="30">
      <formula>D19="FALTA"</formula>
    </cfRule>
  </conditionalFormatting>
  <conditionalFormatting sqref="D16:K18">
    <cfRule type="expression" dxfId="17" priority="254">
      <formula>WEEKDAY($D$17,2)&gt;5</formula>
    </cfRule>
  </conditionalFormatting>
  <conditionalFormatting sqref="D19:EG33">
    <cfRule type="expression" dxfId="16" priority="1">
      <formula>D19="JUSTIFICADO"</formula>
    </cfRule>
    <cfRule type="expression" dxfId="15" priority="6">
      <formula>D19="SI"</formula>
    </cfRule>
    <cfRule type="expression" dxfId="14" priority="8">
      <formula>D19="NO"</formula>
    </cfRule>
  </conditionalFormatting>
  <conditionalFormatting sqref="M16:T18">
    <cfRule type="expression" dxfId="13" priority="252">
      <formula>WEEKDAY($M$17,2)&gt;5</formula>
    </cfRule>
  </conditionalFormatting>
  <conditionalFormatting sqref="V16:AC18">
    <cfRule type="expression" dxfId="12" priority="253">
      <formula>WEEKDAY($V$17,2)&gt;5</formula>
    </cfRule>
  </conditionalFormatting>
  <conditionalFormatting sqref="AE16:AL18">
    <cfRule type="expression" dxfId="11" priority="251">
      <formula>WEEKDAY($AE$17,2)&gt;5</formula>
    </cfRule>
  </conditionalFormatting>
  <conditionalFormatting sqref="AN16:AU18">
    <cfRule type="expression" dxfId="10" priority="250">
      <formula>WEEKDAY($AN$17,2)&gt;5</formula>
    </cfRule>
  </conditionalFormatting>
  <conditionalFormatting sqref="AW16:BD18">
    <cfRule type="expression" dxfId="9" priority="249">
      <formula>WEEKDAY($AW$17,2)&gt;5</formula>
    </cfRule>
  </conditionalFormatting>
  <conditionalFormatting sqref="BF16:BM18">
    <cfRule type="expression" dxfId="8" priority="248">
      <formula>WEEKDAY($BF$17,2)&gt;5</formula>
    </cfRule>
  </conditionalFormatting>
  <conditionalFormatting sqref="BO16:BV18">
    <cfRule type="expression" dxfId="7" priority="247">
      <formula>WEEKDAY($BO$17,2)&gt;5</formula>
    </cfRule>
  </conditionalFormatting>
  <conditionalFormatting sqref="BX16:CE18">
    <cfRule type="expression" dxfId="6" priority="308">
      <formula>WEEKDAY($BX$17,2)&gt;5</formula>
    </cfRule>
  </conditionalFormatting>
  <conditionalFormatting sqref="CG16:CN18">
    <cfRule type="expression" dxfId="5" priority="245">
      <formula>WEEKDAY($CG$17,2)&gt;5</formula>
    </cfRule>
  </conditionalFormatting>
  <conditionalFormatting sqref="CP16:CW18">
    <cfRule type="expression" dxfId="4" priority="244">
      <formula>WEEKDAY($CP$17,2)&gt;5</formula>
    </cfRule>
  </conditionalFormatting>
  <conditionalFormatting sqref="CY16:DF18">
    <cfRule type="expression" dxfId="3" priority="305">
      <formula>WEEKDAY($CY$17,2)&gt;5</formula>
    </cfRule>
  </conditionalFormatting>
  <conditionalFormatting sqref="DH16:DO18">
    <cfRule type="expression" dxfId="2" priority="304">
      <formula>WEEKDAY($DH$17,2)&gt;5</formula>
    </cfRule>
  </conditionalFormatting>
  <conditionalFormatting sqref="DQ16:DX18">
    <cfRule type="expression" dxfId="1" priority="241">
      <formula>WEEKDAY($DQ$17,2)&gt;5</formula>
    </cfRule>
  </conditionalFormatting>
  <conditionalFormatting sqref="DZ16:EG18">
    <cfRule type="expression" dxfId="0" priority="240">
      <formula>WEEKDAY($DZ$17,2)&gt;5</formula>
    </cfRule>
  </conditionalFormatting>
  <conditionalFormatting sqref="EK19:EK20 EK22:EK33 EK21:EL21">
    <cfRule type="colorScale" priority="633">
      <colorScale>
        <cfvo type="min"/>
        <cfvo type="max"/>
        <color rgb="FFFCFCFF"/>
        <color rgb="FFF8696B"/>
      </colorScale>
    </cfRule>
  </conditionalFormatting>
  <conditionalFormatting sqref="EL19:EL20 EL22:EL33">
    <cfRule type="colorScale" priority="3">
      <colorScale>
        <cfvo type="min"/>
        <cfvo type="max"/>
        <color rgb="FFFCFCFF"/>
        <color rgb="FF63BE7B"/>
      </colorScale>
    </cfRule>
  </conditionalFormatting>
  <conditionalFormatting sqref="EM19:EM33">
    <cfRule type="colorScale" priority="2">
      <colorScale>
        <cfvo type="min"/>
        <cfvo type="max"/>
        <color rgb="FFFCFCFF"/>
        <color rgb="FF63BE7B"/>
      </colorScale>
    </cfRule>
  </conditionalFormatting>
  <conditionalFormatting sqref="EN19:EN33">
    <cfRule type="dataBar" priority="63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{F0AF694F-19B0-4BE6-A0B1-6A5794252672}</x14:id>
        </ext>
      </extLst>
    </cfRule>
  </conditionalFormatting>
  <conditionalFormatting sqref="EO19:EO33">
    <cfRule type="colorScale" priority="636">
      <colorScale>
        <cfvo type="min"/>
        <cfvo type="num" val="9"/>
        <cfvo type="max"/>
        <color rgb="FFFF7128"/>
        <color rgb="FFFFEB84"/>
        <color theme="0"/>
      </colorScale>
    </cfRule>
  </conditionalFormatting>
  <conditionalFormatting sqref="EP19:EP33">
    <cfRule type="dataBar" priority="637">
      <dataBar>
        <cfvo type="min"/>
        <cfvo type="max"/>
        <color theme="2" tint="-0.499984740745262"/>
      </dataBar>
      <extLst>
        <ext xmlns:x14="http://schemas.microsoft.com/office/spreadsheetml/2009/9/main" uri="{B025F937-C7B1-47D3-B67F-A62EFF666E3E}">
          <x14:id>{36951243-78F2-4859-9A35-1691F7281130}</x14:id>
        </ext>
      </extLst>
    </cfRule>
  </conditionalFormatting>
  <conditionalFormatting sqref="EQ19:EQ33">
    <cfRule type="dataBar" priority="638">
      <dataBar>
        <cfvo type="min"/>
        <cfvo type="max"/>
        <color theme="7" tint="0.39997558519241921"/>
      </dataBar>
      <extLst>
        <ext xmlns:x14="http://schemas.microsoft.com/office/spreadsheetml/2009/9/main" uri="{B025F937-C7B1-47D3-B67F-A62EFF666E3E}">
          <x14:id>{7841F6B4-44DF-4CBB-9CE1-8B1FB3C977D0}</x14:id>
        </ext>
      </extLst>
    </cfRule>
  </conditionalFormatting>
  <conditionalFormatting sqref="ER19:ER33">
    <cfRule type="dataBar" priority="639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{BB15795A-D6BF-4A71-9453-5232257B4BDA}</x14:id>
        </ext>
      </extLst>
    </cfRule>
  </conditionalFormatting>
  <conditionalFormatting sqref="ES19:ES33">
    <cfRule type="dataBar" priority="6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{651693CB-5EAA-412B-A563-0E5DAEB29F39}</x14:id>
        </ext>
      </extLst>
    </cfRule>
  </conditionalFormatting>
  <dataValidations count="3">
    <dataValidation allowBlank="1" showInputMessage="1" showErrorMessage="1" promptTitle="Hora de Salida" prompt="La hora de salida indicada de lunes a viernes es a las 6:00 p. m. El tiempo adicional no se considerará, salvo que sea solicitado por un supervisor." sqref="W18:W22 DR18:DR22 E18:E21 N18:N21 AF18:AF22 AO18:AO22 AX18:AX22 BG18:BG22 BP18:BP22 BY18:BY22 CH18:CH22 CQ18:CQ22 CZ18:CZ22 E23 DI18:DI22 EA18:EA22" xr:uid="{00000000-0002-0000-0400-000000000000}"/>
    <dataValidation type="list" allowBlank="1" showInputMessage="1" showErrorMessage="1" sqref="F19:F33 O19:O33 X19:X33 AG19:AG33 AP19:AP33 AY19:AY33 BH19:BH33 BQ19:BQ33 BZ19:BZ33 CI19:CI33 CR19:CR33 DA19:DA33 DJ19:DJ33 DS19:DS33 EB19:EB33" xr:uid="{00000000-0002-0000-0400-000001000000}">
      <formula1>$O$3:$O$4</formula1>
    </dataValidation>
    <dataValidation type="list" allowBlank="1" showInputMessage="1" showErrorMessage="1" sqref="K19:K33 DO19:DO33 DX19:DX33 BM19:BM33 DF19:DF33 CW19:CW33 CN19:CN33 CE19:CE33 BV19:BV33 BD19:BD33 T19:T33 AU19:AU33 AL19:AL33 AC19:AC33 EG19:EG33" xr:uid="{00000000-0002-0000-0400-000002000000}">
      <formula1>$N$3:$N$12</formula1>
    </dataValidation>
  </dataValidations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0AF694F-19B0-4BE6-A0B1-6A57942526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EN19:EN33</xm:sqref>
        </x14:conditionalFormatting>
        <x14:conditionalFormatting xmlns:xm="http://schemas.microsoft.com/office/excel/2006/main">
          <x14:cfRule type="dataBar" id="{36951243-78F2-4859-9A35-1691F728113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EP19:EP33</xm:sqref>
        </x14:conditionalFormatting>
        <x14:conditionalFormatting xmlns:xm="http://schemas.microsoft.com/office/excel/2006/main">
          <x14:cfRule type="dataBar" id="{7841F6B4-44DF-4CBB-9CE1-8B1FB3C977D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EQ19:EQ33</xm:sqref>
        </x14:conditionalFormatting>
        <x14:conditionalFormatting xmlns:xm="http://schemas.microsoft.com/office/excel/2006/main">
          <x14:cfRule type="dataBar" id="{BB15795A-D6BF-4A71-9453-5232257B4B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ER19:ER33</xm:sqref>
        </x14:conditionalFormatting>
        <x14:conditionalFormatting xmlns:xm="http://schemas.microsoft.com/office/excel/2006/main">
          <x14:cfRule type="dataBar" id="{651693CB-5EAA-412B-A563-0E5DAEB29F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ES19:ES33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A90F97"/>
  </sheetPr>
  <dimension ref="A3:AH20"/>
  <sheetViews>
    <sheetView workbookViewId="0">
      <pane xSplit="2" topLeftCell="C1" activePane="topRight" state="frozen"/>
      <selection pane="topRight" activeCell="D6" sqref="D6"/>
    </sheetView>
  </sheetViews>
  <sheetFormatPr baseColWidth="10" defaultRowHeight="15" x14ac:dyDescent="0.25"/>
  <cols>
    <col min="1" max="1" width="7.85546875" customWidth="1"/>
    <col min="2" max="2" width="39.5703125" bestFit="1" customWidth="1"/>
    <col min="3" max="3" width="1" customWidth="1"/>
    <col min="4" max="4" width="14.42578125" customWidth="1"/>
    <col min="5" max="5" width="14.140625" customWidth="1"/>
    <col min="6" max="6" width="11.7109375" customWidth="1"/>
    <col min="7" max="7" width="0.85546875" customWidth="1"/>
    <col min="8" max="8" width="14.28515625" customWidth="1"/>
    <col min="9" max="9" width="14.7109375" customWidth="1"/>
    <col min="11" max="11" width="0.85546875" customWidth="1"/>
    <col min="12" max="12" width="13.85546875" customWidth="1"/>
    <col min="13" max="13" width="14.85546875" customWidth="1"/>
    <col min="15" max="15" width="1.140625" customWidth="1"/>
    <col min="16" max="16" width="13.140625" customWidth="1"/>
    <col min="17" max="17" width="13.5703125" customWidth="1"/>
    <col min="19" max="19" width="1.140625" customWidth="1"/>
    <col min="20" max="20" width="13.85546875" customWidth="1"/>
    <col min="21" max="21" width="13.140625" customWidth="1"/>
    <col min="23" max="23" width="1" customWidth="1"/>
    <col min="24" max="24" width="13.42578125" customWidth="1"/>
    <col min="25" max="25" width="13.5703125" customWidth="1"/>
    <col min="27" max="27" width="1.140625" customWidth="1"/>
    <col min="28" max="29" width="14.140625" customWidth="1"/>
    <col min="31" max="31" width="1" customWidth="1"/>
    <col min="32" max="32" width="13.42578125" customWidth="1"/>
    <col min="33" max="33" width="13.85546875" customWidth="1"/>
    <col min="34" max="34" width="10.5703125" customWidth="1"/>
  </cols>
  <sheetData>
    <row r="3" spans="1:34" ht="33.75" customHeight="1" x14ac:dyDescent="0.25">
      <c r="A3" s="361" t="s">
        <v>207</v>
      </c>
      <c r="B3" s="361"/>
      <c r="C3" s="78"/>
      <c r="D3" s="356" t="s">
        <v>180</v>
      </c>
      <c r="E3" s="356"/>
      <c r="F3" s="356"/>
      <c r="G3" s="75"/>
      <c r="H3" s="362" t="s">
        <v>160</v>
      </c>
      <c r="I3" s="362"/>
      <c r="J3" s="362"/>
      <c r="K3" s="75"/>
      <c r="L3" s="363" t="s">
        <v>142</v>
      </c>
      <c r="M3" s="363"/>
      <c r="N3" s="363"/>
      <c r="O3" s="75"/>
      <c r="P3" s="357" t="s">
        <v>39</v>
      </c>
      <c r="Q3" s="357"/>
      <c r="R3" s="357"/>
      <c r="S3" s="75"/>
      <c r="T3" s="359" t="s">
        <v>170</v>
      </c>
      <c r="U3" s="359"/>
      <c r="V3" s="359"/>
      <c r="W3" s="75"/>
      <c r="X3" s="360" t="s">
        <v>169</v>
      </c>
      <c r="Y3" s="360"/>
      <c r="Z3" s="360"/>
      <c r="AA3" s="75"/>
      <c r="AB3" s="358" t="s">
        <v>171</v>
      </c>
      <c r="AC3" s="358"/>
      <c r="AD3" s="358"/>
      <c r="AE3" s="75"/>
      <c r="AF3" s="354" t="s">
        <v>181</v>
      </c>
      <c r="AG3" s="354"/>
      <c r="AH3" s="354"/>
    </row>
    <row r="4" spans="1:34" ht="26.25" x14ac:dyDescent="0.25">
      <c r="A4" s="361"/>
      <c r="B4" s="361"/>
      <c r="C4" s="78"/>
      <c r="D4" s="356" t="s">
        <v>166</v>
      </c>
      <c r="E4" s="356"/>
      <c r="F4" s="356" t="s">
        <v>102</v>
      </c>
      <c r="G4" s="75"/>
      <c r="H4" s="362" t="s">
        <v>166</v>
      </c>
      <c r="I4" s="362"/>
      <c r="J4" s="362" t="s">
        <v>102</v>
      </c>
      <c r="K4" s="75"/>
      <c r="L4" s="363" t="s">
        <v>166</v>
      </c>
      <c r="M4" s="363"/>
      <c r="N4" s="363" t="s">
        <v>102</v>
      </c>
      <c r="O4" s="75"/>
      <c r="P4" s="357" t="s">
        <v>166</v>
      </c>
      <c r="Q4" s="357"/>
      <c r="R4" s="357" t="s">
        <v>102</v>
      </c>
      <c r="S4" s="75"/>
      <c r="T4" s="359" t="s">
        <v>166</v>
      </c>
      <c r="U4" s="359"/>
      <c r="V4" s="359" t="s">
        <v>102</v>
      </c>
      <c r="W4" s="75"/>
      <c r="X4" s="360" t="s">
        <v>166</v>
      </c>
      <c r="Y4" s="360"/>
      <c r="Z4" s="360" t="s">
        <v>102</v>
      </c>
      <c r="AA4" s="75"/>
      <c r="AB4" s="358" t="s">
        <v>166</v>
      </c>
      <c r="AC4" s="358"/>
      <c r="AD4" s="358" t="s">
        <v>102</v>
      </c>
      <c r="AE4" s="75"/>
      <c r="AF4" s="355" t="s">
        <v>166</v>
      </c>
      <c r="AG4" s="355"/>
      <c r="AH4" s="355" t="s">
        <v>102</v>
      </c>
    </row>
    <row r="5" spans="1:34" x14ac:dyDescent="0.25">
      <c r="A5" s="61" t="s">
        <v>131</v>
      </c>
      <c r="B5" s="61" t="s">
        <v>165</v>
      </c>
      <c r="C5" s="79"/>
      <c r="D5" s="69" t="s">
        <v>167</v>
      </c>
      <c r="E5" s="69" t="s">
        <v>168</v>
      </c>
      <c r="F5" s="356"/>
      <c r="G5" s="75"/>
      <c r="H5" s="71" t="s">
        <v>167</v>
      </c>
      <c r="I5" s="71" t="s">
        <v>168</v>
      </c>
      <c r="J5" s="362"/>
      <c r="K5" s="75"/>
      <c r="L5" s="70" t="s">
        <v>167</v>
      </c>
      <c r="M5" s="70" t="s">
        <v>168</v>
      </c>
      <c r="N5" s="363"/>
      <c r="O5" s="75"/>
      <c r="P5" s="72" t="s">
        <v>167</v>
      </c>
      <c r="Q5" s="72" t="s">
        <v>168</v>
      </c>
      <c r="R5" s="357"/>
      <c r="S5" s="75"/>
      <c r="T5" s="73" t="s">
        <v>167</v>
      </c>
      <c r="U5" s="73" t="s">
        <v>168</v>
      </c>
      <c r="V5" s="359"/>
      <c r="W5" s="75"/>
      <c r="X5" s="74" t="s">
        <v>167</v>
      </c>
      <c r="Y5" s="74" t="s">
        <v>168</v>
      </c>
      <c r="Z5" s="360"/>
      <c r="AA5" s="75"/>
      <c r="AB5" s="77" t="s">
        <v>167</v>
      </c>
      <c r="AC5" s="77" t="s">
        <v>168</v>
      </c>
      <c r="AD5" s="358"/>
      <c r="AE5" s="75"/>
      <c r="AF5" s="103" t="s">
        <v>167</v>
      </c>
      <c r="AG5" s="103" t="s">
        <v>168</v>
      </c>
      <c r="AH5" s="355"/>
    </row>
    <row r="6" spans="1:34" x14ac:dyDescent="0.25">
      <c r="A6" s="68">
        <v>1</v>
      </c>
      <c r="B6" s="60" t="str">
        <f>ASISTENCIA!B19</f>
        <v>CISNEROS PACOTAYPE KEVIN</v>
      </c>
      <c r="C6" s="76"/>
      <c r="D6" s="63">
        <f>ASISTENCIA!EM19</f>
        <v>5</v>
      </c>
      <c r="E6" s="63"/>
      <c r="F6" s="63">
        <f>D6+E6</f>
        <v>5</v>
      </c>
      <c r="G6" s="75"/>
      <c r="H6" s="55">
        <f>ASISTENCIA!EP19</f>
        <v>0</v>
      </c>
      <c r="I6" s="55"/>
      <c r="J6" s="55">
        <f>H6+I6</f>
        <v>0</v>
      </c>
      <c r="K6" s="75"/>
      <c r="L6" s="55">
        <f>ASISTENCIA!EQ19</f>
        <v>0</v>
      </c>
      <c r="M6" s="55"/>
      <c r="N6" s="55">
        <f>L6+M6</f>
        <v>0</v>
      </c>
      <c r="O6" s="75"/>
      <c r="P6" s="55">
        <f>ASISTENCIA!ER19</f>
        <v>0</v>
      </c>
      <c r="Q6" s="55"/>
      <c r="R6" s="55">
        <f>P6+Q6</f>
        <v>0</v>
      </c>
      <c r="S6" s="75"/>
      <c r="T6" s="55">
        <f>ASISTENCIA!ES19</f>
        <v>0</v>
      </c>
      <c r="U6" s="55"/>
      <c r="V6" s="55">
        <f>T6+U6</f>
        <v>0</v>
      </c>
      <c r="W6" s="75"/>
      <c r="X6" s="55">
        <f>ASISTENCIA!EN19</f>
        <v>7</v>
      </c>
      <c r="Y6" s="55"/>
      <c r="Z6" s="55">
        <f>X6+Y6</f>
        <v>7</v>
      </c>
      <c r="AA6" s="75"/>
      <c r="AB6" s="62">
        <f>ASISTENCIA!EK19</f>
        <v>0</v>
      </c>
      <c r="AC6" s="62"/>
      <c r="AD6" s="62">
        <f>AB6+AC6</f>
        <v>0</v>
      </c>
      <c r="AE6" s="75"/>
      <c r="AF6" s="63">
        <f>ASISTENCIA!EO19</f>
        <v>8</v>
      </c>
      <c r="AG6" s="63"/>
      <c r="AH6" s="63">
        <f>AF6+AG6</f>
        <v>8</v>
      </c>
    </row>
    <row r="7" spans="1:34" x14ac:dyDescent="0.25">
      <c r="A7" s="68">
        <f>A6+1</f>
        <v>2</v>
      </c>
      <c r="B7" s="60" t="str">
        <f>ASISTENCIA!B20</f>
        <v>CISNEROS SUMA, ANDRES JUAN</v>
      </c>
      <c r="C7" s="76"/>
      <c r="D7" s="63">
        <f>ASISTENCIA!EM20</f>
        <v>0</v>
      </c>
      <c r="E7" s="63"/>
      <c r="F7" s="63">
        <f t="shared" ref="F7:F20" si="0">D7+E7</f>
        <v>0</v>
      </c>
      <c r="G7" s="75"/>
      <c r="H7" s="55">
        <f>ASISTENCIA!EP20</f>
        <v>0</v>
      </c>
      <c r="I7" s="55"/>
      <c r="J7" s="55">
        <f t="shared" ref="J7:J20" si="1">H7+I7</f>
        <v>0</v>
      </c>
      <c r="K7" s="75"/>
      <c r="L7" s="55">
        <f>ASISTENCIA!EQ20</f>
        <v>0</v>
      </c>
      <c r="M7" s="55"/>
      <c r="N7" s="55">
        <f t="shared" ref="N7:N20" si="2">L7+M7</f>
        <v>0</v>
      </c>
      <c r="O7" s="75"/>
      <c r="P7" s="55">
        <f>ASISTENCIA!ER20</f>
        <v>0</v>
      </c>
      <c r="Q7" s="55"/>
      <c r="R7" s="55">
        <f t="shared" ref="R7:R20" si="3">P7+Q7</f>
        <v>0</v>
      </c>
      <c r="S7" s="75"/>
      <c r="T7" s="55">
        <f>ASISTENCIA!ES20</f>
        <v>0</v>
      </c>
      <c r="U7" s="55"/>
      <c r="V7" s="55">
        <f t="shared" ref="V7:V20" si="4">T7+U7</f>
        <v>0</v>
      </c>
      <c r="W7" s="75"/>
      <c r="X7" s="55">
        <f>ASISTENCIA!EN20</f>
        <v>0</v>
      </c>
      <c r="Y7" s="55"/>
      <c r="Z7" s="55">
        <f t="shared" ref="Z7:Z20" si="5">X7+Y7</f>
        <v>0</v>
      </c>
      <c r="AA7" s="75"/>
      <c r="AB7" s="62">
        <f>ASISTENCIA!EK20</f>
        <v>59.999999999999886</v>
      </c>
      <c r="AC7" s="62"/>
      <c r="AD7" s="62">
        <f t="shared" ref="AD7:AD20" si="6">AB7+AC7</f>
        <v>59.999999999999886</v>
      </c>
      <c r="AE7" s="75"/>
      <c r="AF7" s="63">
        <f>ASISTENCIA!EO20</f>
        <v>15</v>
      </c>
      <c r="AG7" s="63"/>
      <c r="AH7" s="63">
        <f t="shared" ref="AH7:AH20" si="7">AF7+AG7</f>
        <v>15</v>
      </c>
    </row>
    <row r="8" spans="1:34" x14ac:dyDescent="0.25">
      <c r="A8" s="68">
        <f t="shared" ref="A8:A20" si="8">A7+1</f>
        <v>3</v>
      </c>
      <c r="B8" s="60" t="str">
        <f>ASISTENCIA!B21</f>
        <v>CISNEROS SUMA, EDGAR</v>
      </c>
      <c r="C8" s="76"/>
      <c r="D8" s="63">
        <f>ASISTENCIA!EM21</f>
        <v>0</v>
      </c>
      <c r="E8" s="63"/>
      <c r="F8" s="63">
        <f t="shared" si="0"/>
        <v>0</v>
      </c>
      <c r="G8" s="75"/>
      <c r="H8" s="55">
        <f>ASISTENCIA!EP21</f>
        <v>2</v>
      </c>
      <c r="I8" s="55"/>
      <c r="J8" s="55">
        <f t="shared" si="1"/>
        <v>2</v>
      </c>
      <c r="K8" s="75"/>
      <c r="L8" s="55">
        <f>ASISTENCIA!EQ21</f>
        <v>0</v>
      </c>
      <c r="M8" s="55"/>
      <c r="N8" s="55">
        <f t="shared" si="2"/>
        <v>0</v>
      </c>
      <c r="O8" s="75"/>
      <c r="P8" s="55">
        <f>ASISTENCIA!ER21</f>
        <v>0</v>
      </c>
      <c r="Q8" s="55"/>
      <c r="R8" s="55">
        <f t="shared" si="3"/>
        <v>0</v>
      </c>
      <c r="S8" s="75"/>
      <c r="T8" s="55">
        <f>ASISTENCIA!ES21</f>
        <v>0</v>
      </c>
      <c r="U8" s="55"/>
      <c r="V8" s="55">
        <f t="shared" si="4"/>
        <v>0</v>
      </c>
      <c r="W8" s="75"/>
      <c r="X8" s="55">
        <f>ASISTENCIA!EN21</f>
        <v>0</v>
      </c>
      <c r="Y8" s="55"/>
      <c r="Z8" s="55">
        <f t="shared" si="5"/>
        <v>0</v>
      </c>
      <c r="AA8" s="75"/>
      <c r="AB8" s="62">
        <f>ASISTENCIA!EK21</f>
        <v>0</v>
      </c>
      <c r="AC8" s="62"/>
      <c r="AD8" s="62">
        <f t="shared" si="6"/>
        <v>0</v>
      </c>
      <c r="AE8" s="75"/>
      <c r="AF8" s="63">
        <f>ASISTENCIA!EO21</f>
        <v>15</v>
      </c>
      <c r="AG8" s="63"/>
      <c r="AH8" s="63">
        <f t="shared" si="7"/>
        <v>15</v>
      </c>
    </row>
    <row r="9" spans="1:34" x14ac:dyDescent="0.25">
      <c r="A9" s="68">
        <f t="shared" si="8"/>
        <v>4</v>
      </c>
      <c r="B9" s="60" t="str">
        <f>ASISTENCIA!B22</f>
        <v>CORI ADAN RUTBEL</v>
      </c>
      <c r="C9" s="76"/>
      <c r="D9" s="63">
        <f>ASISTENCIA!EM22</f>
        <v>0</v>
      </c>
      <c r="E9" s="63"/>
      <c r="F9" s="63">
        <f t="shared" si="0"/>
        <v>0</v>
      </c>
      <c r="G9" s="75"/>
      <c r="H9" s="55">
        <f>ASISTENCIA!EP22</f>
        <v>0</v>
      </c>
      <c r="I9" s="55"/>
      <c r="J9" s="55">
        <f t="shared" si="1"/>
        <v>0</v>
      </c>
      <c r="K9" s="75"/>
      <c r="L9" s="55">
        <f>ASISTENCIA!EQ22</f>
        <v>0</v>
      </c>
      <c r="M9" s="55"/>
      <c r="N9" s="55">
        <f t="shared" si="2"/>
        <v>0</v>
      </c>
      <c r="O9" s="75"/>
      <c r="P9" s="55">
        <f>ASISTENCIA!ER22</f>
        <v>0</v>
      </c>
      <c r="Q9" s="55"/>
      <c r="R9" s="55">
        <f t="shared" si="3"/>
        <v>0</v>
      </c>
      <c r="S9" s="75"/>
      <c r="T9" s="55">
        <f>ASISTENCIA!ES22</f>
        <v>0</v>
      </c>
      <c r="U9" s="55"/>
      <c r="V9" s="55">
        <f t="shared" si="4"/>
        <v>0</v>
      </c>
      <c r="W9" s="75"/>
      <c r="X9" s="55">
        <f>ASISTENCIA!EN22</f>
        <v>1</v>
      </c>
      <c r="Y9" s="55"/>
      <c r="Z9" s="55">
        <f t="shared" si="5"/>
        <v>1</v>
      </c>
      <c r="AA9" s="75"/>
      <c r="AB9" s="62">
        <f>ASISTENCIA!EK22</f>
        <v>170.99999999999994</v>
      </c>
      <c r="AC9" s="62"/>
      <c r="AD9" s="62">
        <f t="shared" si="6"/>
        <v>170.99999999999994</v>
      </c>
      <c r="AE9" s="75"/>
      <c r="AF9" s="63">
        <f>ASISTENCIA!EO22</f>
        <v>14</v>
      </c>
      <c r="AG9" s="63"/>
      <c r="AH9" s="63">
        <f t="shared" si="7"/>
        <v>14</v>
      </c>
    </row>
    <row r="10" spans="1:34" x14ac:dyDescent="0.25">
      <c r="A10" s="68">
        <f t="shared" si="8"/>
        <v>5</v>
      </c>
      <c r="B10" s="60" t="str">
        <f>ASISTENCIA!B23</f>
        <v>GAVIDIA PEREIRA JAVIER</v>
      </c>
      <c r="C10" s="76"/>
      <c r="D10" s="63">
        <f>ASISTENCIA!EM23</f>
        <v>0</v>
      </c>
      <c r="E10" s="63"/>
      <c r="F10" s="63">
        <f t="shared" si="0"/>
        <v>0</v>
      </c>
      <c r="G10" s="75"/>
      <c r="H10" s="55">
        <f>ASISTENCIA!EP23</f>
        <v>0</v>
      </c>
      <c r="I10" s="55"/>
      <c r="J10" s="55">
        <f t="shared" si="1"/>
        <v>0</v>
      </c>
      <c r="K10" s="75"/>
      <c r="L10" s="55">
        <f>ASISTENCIA!EQ23</f>
        <v>0</v>
      </c>
      <c r="M10" s="55"/>
      <c r="N10" s="55">
        <f t="shared" si="2"/>
        <v>0</v>
      </c>
      <c r="O10" s="75"/>
      <c r="P10" s="55">
        <f>ASISTENCIA!ER23</f>
        <v>0</v>
      </c>
      <c r="Q10" s="55"/>
      <c r="R10" s="55">
        <f t="shared" si="3"/>
        <v>0</v>
      </c>
      <c r="S10" s="75"/>
      <c r="T10" s="55">
        <f>ASISTENCIA!ES23</f>
        <v>0</v>
      </c>
      <c r="U10" s="55"/>
      <c r="V10" s="55">
        <f t="shared" si="4"/>
        <v>0</v>
      </c>
      <c r="W10" s="75"/>
      <c r="X10" s="55">
        <f>ASISTENCIA!EN23</f>
        <v>0</v>
      </c>
      <c r="Y10" s="55"/>
      <c r="Z10" s="55">
        <f t="shared" si="5"/>
        <v>0</v>
      </c>
      <c r="AA10" s="75"/>
      <c r="AB10" s="62">
        <f>ASISTENCIA!EK23</f>
        <v>0</v>
      </c>
      <c r="AC10" s="62"/>
      <c r="AD10" s="62">
        <f t="shared" si="6"/>
        <v>0</v>
      </c>
      <c r="AE10" s="75"/>
      <c r="AF10" s="63">
        <f>ASISTENCIA!EO23</f>
        <v>15</v>
      </c>
      <c r="AG10" s="63"/>
      <c r="AH10" s="63">
        <f t="shared" si="7"/>
        <v>15</v>
      </c>
    </row>
    <row r="11" spans="1:34" x14ac:dyDescent="0.25">
      <c r="A11" s="68">
        <f t="shared" si="8"/>
        <v>6</v>
      </c>
      <c r="B11" s="60" t="str">
        <f>ASISTENCIA!B24</f>
        <v>HIDALGO MOYA, LIZBETH SONIA</v>
      </c>
      <c r="C11" s="76"/>
      <c r="D11" s="63">
        <f>ASISTENCIA!EM24</f>
        <v>0</v>
      </c>
      <c r="E11" s="63"/>
      <c r="F11" s="63">
        <f t="shared" si="0"/>
        <v>0</v>
      </c>
      <c r="G11" s="75"/>
      <c r="H11" s="55">
        <f>ASISTENCIA!EP24</f>
        <v>0</v>
      </c>
      <c r="I11" s="55"/>
      <c r="J11" s="55">
        <f t="shared" si="1"/>
        <v>0</v>
      </c>
      <c r="K11" s="75"/>
      <c r="L11" s="55">
        <f>ASISTENCIA!EQ24</f>
        <v>0</v>
      </c>
      <c r="M11" s="55"/>
      <c r="N11" s="55">
        <f t="shared" si="2"/>
        <v>0</v>
      </c>
      <c r="O11" s="75"/>
      <c r="P11" s="55">
        <f>ASISTENCIA!ER24</f>
        <v>0</v>
      </c>
      <c r="Q11" s="55"/>
      <c r="R11" s="55">
        <f t="shared" si="3"/>
        <v>0</v>
      </c>
      <c r="S11" s="75"/>
      <c r="T11" s="55">
        <f>ASISTENCIA!ES24</f>
        <v>0</v>
      </c>
      <c r="U11" s="55"/>
      <c r="V11" s="55">
        <f t="shared" si="4"/>
        <v>0</v>
      </c>
      <c r="W11" s="75"/>
      <c r="X11" s="55">
        <f>ASISTENCIA!EN24</f>
        <v>0</v>
      </c>
      <c r="Y11" s="55"/>
      <c r="Z11" s="55">
        <f t="shared" si="5"/>
        <v>0</v>
      </c>
      <c r="AA11" s="75"/>
      <c r="AB11" s="62">
        <f>ASISTENCIA!EK24</f>
        <v>0</v>
      </c>
      <c r="AC11" s="62"/>
      <c r="AD11" s="62">
        <f t="shared" si="6"/>
        <v>0</v>
      </c>
      <c r="AE11" s="75"/>
      <c r="AF11" s="63">
        <f>ASISTENCIA!EO24</f>
        <v>15</v>
      </c>
      <c r="AG11" s="63"/>
      <c r="AH11" s="63">
        <f t="shared" si="7"/>
        <v>15</v>
      </c>
    </row>
    <row r="12" spans="1:34" x14ac:dyDescent="0.25">
      <c r="A12" s="68">
        <f t="shared" si="8"/>
        <v>7</v>
      </c>
      <c r="B12" s="60" t="str">
        <f>ASISTENCIA!B25</f>
        <v>LAGOS HUAMANI NIDIA</v>
      </c>
      <c r="C12" s="76"/>
      <c r="D12" s="63">
        <f>ASISTENCIA!EM25</f>
        <v>0</v>
      </c>
      <c r="E12" s="63"/>
      <c r="F12" s="63">
        <f t="shared" si="0"/>
        <v>0</v>
      </c>
      <c r="G12" s="75"/>
      <c r="H12" s="55">
        <f>ASISTENCIA!EP25</f>
        <v>0</v>
      </c>
      <c r="I12" s="55"/>
      <c r="J12" s="55">
        <f t="shared" si="1"/>
        <v>0</v>
      </c>
      <c r="K12" s="75"/>
      <c r="L12" s="55">
        <f>ASISTENCIA!EQ25</f>
        <v>0</v>
      </c>
      <c r="M12" s="55"/>
      <c r="N12" s="55">
        <f t="shared" si="2"/>
        <v>0</v>
      </c>
      <c r="O12" s="75"/>
      <c r="P12" s="55">
        <f>ASISTENCIA!ER25</f>
        <v>0</v>
      </c>
      <c r="Q12" s="55"/>
      <c r="R12" s="55">
        <f t="shared" si="3"/>
        <v>0</v>
      </c>
      <c r="S12" s="75"/>
      <c r="T12" s="55">
        <f>ASISTENCIA!ES25</f>
        <v>0</v>
      </c>
      <c r="U12" s="55"/>
      <c r="V12" s="55">
        <f t="shared" si="4"/>
        <v>0</v>
      </c>
      <c r="W12" s="75"/>
      <c r="X12" s="55">
        <f>ASISTENCIA!EN25</f>
        <v>0</v>
      </c>
      <c r="Y12" s="55"/>
      <c r="Z12" s="55">
        <f t="shared" si="5"/>
        <v>0</v>
      </c>
      <c r="AA12" s="75"/>
      <c r="AB12" s="62">
        <f>ASISTENCIA!EK25</f>
        <v>839.00000000000068</v>
      </c>
      <c r="AC12" s="62"/>
      <c r="AD12" s="62">
        <f t="shared" si="6"/>
        <v>839.00000000000068</v>
      </c>
      <c r="AE12" s="75"/>
      <c r="AF12" s="63">
        <f>ASISTENCIA!EO25</f>
        <v>15</v>
      </c>
      <c r="AG12" s="63"/>
      <c r="AH12" s="63">
        <f t="shared" si="7"/>
        <v>15</v>
      </c>
    </row>
    <row r="13" spans="1:34" x14ac:dyDescent="0.25">
      <c r="A13" s="68">
        <f t="shared" si="8"/>
        <v>8</v>
      </c>
      <c r="B13" s="60" t="str">
        <f>ASISTENCIA!B26</f>
        <v>MERCADO SANCHEZ NORMA AURELIA</v>
      </c>
      <c r="C13" s="76"/>
      <c r="D13" s="63">
        <f>ASISTENCIA!EM26</f>
        <v>1</v>
      </c>
      <c r="E13" s="63"/>
      <c r="F13" s="63">
        <f t="shared" si="0"/>
        <v>1</v>
      </c>
      <c r="G13" s="75"/>
      <c r="H13" s="55">
        <f>ASISTENCIA!EP26</f>
        <v>0</v>
      </c>
      <c r="I13" s="55"/>
      <c r="J13" s="55">
        <f t="shared" si="1"/>
        <v>0</v>
      </c>
      <c r="K13" s="75"/>
      <c r="L13" s="55">
        <f>ASISTENCIA!EQ26</f>
        <v>0</v>
      </c>
      <c r="M13" s="55"/>
      <c r="N13" s="55">
        <f t="shared" si="2"/>
        <v>0</v>
      </c>
      <c r="O13" s="75"/>
      <c r="P13" s="55">
        <f>ASISTENCIA!ER26</f>
        <v>0</v>
      </c>
      <c r="Q13" s="55"/>
      <c r="R13" s="55">
        <f t="shared" si="3"/>
        <v>0</v>
      </c>
      <c r="S13" s="75"/>
      <c r="T13" s="55">
        <f>ASISTENCIA!ES26</f>
        <v>0</v>
      </c>
      <c r="U13" s="55"/>
      <c r="V13" s="55">
        <f t="shared" si="4"/>
        <v>0</v>
      </c>
      <c r="W13" s="75"/>
      <c r="X13" s="55">
        <f>ASISTENCIA!EN26</f>
        <v>0</v>
      </c>
      <c r="Y13" s="55"/>
      <c r="Z13" s="55">
        <f t="shared" si="5"/>
        <v>0</v>
      </c>
      <c r="AA13" s="75"/>
      <c r="AB13" s="62">
        <f>ASISTENCIA!EK26</f>
        <v>663.00000000000068</v>
      </c>
      <c r="AC13" s="62"/>
      <c r="AD13" s="62">
        <f t="shared" si="6"/>
        <v>663.00000000000068</v>
      </c>
      <c r="AE13" s="75"/>
      <c r="AF13" s="63">
        <f>ASISTENCIA!EO26</f>
        <v>15</v>
      </c>
      <c r="AG13" s="63"/>
      <c r="AH13" s="63">
        <f t="shared" si="7"/>
        <v>15</v>
      </c>
    </row>
    <row r="14" spans="1:34" x14ac:dyDescent="0.25">
      <c r="A14" s="68">
        <f t="shared" si="8"/>
        <v>9</v>
      </c>
      <c r="B14" s="60" t="str">
        <f>ASISTENCIA!B27</f>
        <v>MONTENEGRO OBLITAS GROVER MANUEL</v>
      </c>
      <c r="C14" s="76"/>
      <c r="D14" s="63">
        <f>ASISTENCIA!EM27</f>
        <v>10</v>
      </c>
      <c r="E14" s="63"/>
      <c r="F14" s="63">
        <f t="shared" si="0"/>
        <v>10</v>
      </c>
      <c r="G14" s="75"/>
      <c r="H14" s="55">
        <f>ASISTENCIA!EP27</f>
        <v>2</v>
      </c>
      <c r="I14" s="55"/>
      <c r="J14" s="55">
        <f t="shared" si="1"/>
        <v>2</v>
      </c>
      <c r="K14" s="75"/>
      <c r="L14" s="55">
        <f>ASISTENCIA!EQ27</f>
        <v>0</v>
      </c>
      <c r="M14" s="55"/>
      <c r="N14" s="55">
        <f t="shared" si="2"/>
        <v>0</v>
      </c>
      <c r="O14" s="75"/>
      <c r="P14" s="55">
        <f>ASISTENCIA!ER27</f>
        <v>0</v>
      </c>
      <c r="Q14" s="55"/>
      <c r="R14" s="55">
        <f t="shared" si="3"/>
        <v>0</v>
      </c>
      <c r="S14" s="75"/>
      <c r="T14" s="55">
        <f>ASISTENCIA!ES27</f>
        <v>0</v>
      </c>
      <c r="U14" s="55"/>
      <c r="V14" s="55">
        <f t="shared" si="4"/>
        <v>0</v>
      </c>
      <c r="W14" s="75"/>
      <c r="X14" s="55">
        <f>ASISTENCIA!EN27</f>
        <v>0</v>
      </c>
      <c r="Y14" s="55"/>
      <c r="Z14" s="55">
        <f t="shared" si="5"/>
        <v>0</v>
      </c>
      <c r="AA14" s="75"/>
      <c r="AB14" s="62">
        <f>ASISTENCIA!EK27</f>
        <v>21.999999999999886</v>
      </c>
      <c r="AC14" s="62"/>
      <c r="AD14" s="62">
        <f t="shared" si="6"/>
        <v>21.999999999999886</v>
      </c>
      <c r="AE14" s="75"/>
      <c r="AF14" s="63">
        <f>ASISTENCIA!EO27</f>
        <v>15</v>
      </c>
      <c r="AG14" s="63"/>
      <c r="AH14" s="63">
        <f t="shared" si="7"/>
        <v>15</v>
      </c>
    </row>
    <row r="15" spans="1:34" x14ac:dyDescent="0.25">
      <c r="A15" s="68">
        <f t="shared" si="8"/>
        <v>10</v>
      </c>
      <c r="B15" s="60" t="str">
        <f>ASISTENCIA!B28</f>
        <v>PEÑALOZA CAMPOS, FRANK KEVHIN</v>
      </c>
      <c r="C15" s="76"/>
      <c r="D15" s="63">
        <f>ASISTENCIA!EM28</f>
        <v>3</v>
      </c>
      <c r="E15" s="63"/>
      <c r="F15" s="63">
        <f t="shared" si="0"/>
        <v>3</v>
      </c>
      <c r="G15" s="75"/>
      <c r="H15" s="55">
        <f>ASISTENCIA!EP28</f>
        <v>2</v>
      </c>
      <c r="I15" s="55"/>
      <c r="J15" s="55">
        <f t="shared" si="1"/>
        <v>2</v>
      </c>
      <c r="K15" s="75"/>
      <c r="L15" s="55">
        <f>ASISTENCIA!EQ28</f>
        <v>0</v>
      </c>
      <c r="M15" s="55"/>
      <c r="N15" s="55">
        <f t="shared" si="2"/>
        <v>0</v>
      </c>
      <c r="O15" s="75"/>
      <c r="P15" s="55">
        <f>ASISTENCIA!ER28</f>
        <v>0</v>
      </c>
      <c r="Q15" s="55"/>
      <c r="R15" s="55">
        <f t="shared" si="3"/>
        <v>0</v>
      </c>
      <c r="S15" s="75"/>
      <c r="T15" s="55">
        <f>ASISTENCIA!ES28</f>
        <v>0</v>
      </c>
      <c r="U15" s="55"/>
      <c r="V15" s="55">
        <f t="shared" si="4"/>
        <v>0</v>
      </c>
      <c r="W15" s="75"/>
      <c r="X15" s="55">
        <f>ASISTENCIA!EN28</f>
        <v>0</v>
      </c>
      <c r="Y15" s="55"/>
      <c r="Z15" s="55">
        <f t="shared" si="5"/>
        <v>0</v>
      </c>
      <c r="AA15" s="75"/>
      <c r="AB15" s="62">
        <f>ASISTENCIA!EK28</f>
        <v>0</v>
      </c>
      <c r="AC15" s="62"/>
      <c r="AD15" s="62">
        <f t="shared" si="6"/>
        <v>0</v>
      </c>
      <c r="AE15" s="75"/>
      <c r="AF15" s="63">
        <f>ASISTENCIA!EO28</f>
        <v>15</v>
      </c>
      <c r="AG15" s="63"/>
      <c r="AH15" s="63">
        <f t="shared" si="7"/>
        <v>15</v>
      </c>
    </row>
    <row r="16" spans="1:34" x14ac:dyDescent="0.25">
      <c r="A16" s="68">
        <f t="shared" si="8"/>
        <v>11</v>
      </c>
      <c r="B16" s="60" t="str">
        <f>ASISTENCIA!B29</f>
        <v>SANCHEZ MUEDAS FIDEL</v>
      </c>
      <c r="C16" s="76"/>
      <c r="D16" s="63">
        <f>ASISTENCIA!EM29</f>
        <v>1</v>
      </c>
      <c r="E16" s="63"/>
      <c r="F16" s="63">
        <f t="shared" si="0"/>
        <v>1</v>
      </c>
      <c r="G16" s="75"/>
      <c r="H16" s="55">
        <f>ASISTENCIA!EP29</f>
        <v>0</v>
      </c>
      <c r="I16" s="55"/>
      <c r="J16" s="55">
        <f t="shared" si="1"/>
        <v>0</v>
      </c>
      <c r="K16" s="75"/>
      <c r="L16" s="55">
        <f>ASISTENCIA!EQ29</f>
        <v>0</v>
      </c>
      <c r="M16" s="55"/>
      <c r="N16" s="55">
        <f t="shared" si="2"/>
        <v>0</v>
      </c>
      <c r="O16" s="75"/>
      <c r="P16" s="55">
        <f>ASISTENCIA!ER29</f>
        <v>0</v>
      </c>
      <c r="Q16" s="55"/>
      <c r="R16" s="55">
        <f t="shared" si="3"/>
        <v>0</v>
      </c>
      <c r="S16" s="75"/>
      <c r="T16" s="55">
        <f>ASISTENCIA!ES29</f>
        <v>0</v>
      </c>
      <c r="U16" s="55"/>
      <c r="V16" s="55">
        <f t="shared" si="4"/>
        <v>0</v>
      </c>
      <c r="W16" s="75"/>
      <c r="X16" s="55">
        <f>ASISTENCIA!EN29</f>
        <v>0</v>
      </c>
      <c r="Y16" s="55"/>
      <c r="Z16" s="55">
        <f t="shared" si="5"/>
        <v>0</v>
      </c>
      <c r="AA16" s="75"/>
      <c r="AB16" s="62">
        <f>ASISTENCIA!EK29</f>
        <v>54.999999999999886</v>
      </c>
      <c r="AC16" s="62"/>
      <c r="AD16" s="62">
        <f t="shared" si="6"/>
        <v>54.999999999999886</v>
      </c>
      <c r="AE16" s="75"/>
      <c r="AF16" s="63">
        <f>ASISTENCIA!EO29</f>
        <v>15</v>
      </c>
      <c r="AG16" s="63"/>
      <c r="AH16" s="63">
        <f t="shared" si="7"/>
        <v>15</v>
      </c>
    </row>
    <row r="17" spans="1:34" x14ac:dyDescent="0.25">
      <c r="A17" s="68">
        <f t="shared" si="8"/>
        <v>12</v>
      </c>
      <c r="B17" s="60" t="str">
        <f>ASISTENCIA!B30</f>
        <v>SEVERICHE CARLOS ANGELICA JESUS</v>
      </c>
      <c r="C17" s="76"/>
      <c r="D17" s="63">
        <f>ASISTENCIA!EM30</f>
        <v>0</v>
      </c>
      <c r="E17" s="63"/>
      <c r="F17" s="63">
        <f t="shared" si="0"/>
        <v>0</v>
      </c>
      <c r="G17" s="75"/>
      <c r="H17" s="55">
        <f>ASISTENCIA!EP30</f>
        <v>0</v>
      </c>
      <c r="I17" s="55"/>
      <c r="J17" s="55">
        <f t="shared" si="1"/>
        <v>0</v>
      </c>
      <c r="K17" s="75"/>
      <c r="L17" s="55">
        <f>ASISTENCIA!EQ30</f>
        <v>0</v>
      </c>
      <c r="M17" s="55"/>
      <c r="N17" s="55">
        <f t="shared" si="2"/>
        <v>0</v>
      </c>
      <c r="O17" s="75"/>
      <c r="P17" s="55">
        <f>ASISTENCIA!ER30</f>
        <v>0</v>
      </c>
      <c r="Q17" s="55"/>
      <c r="R17" s="55">
        <f t="shared" si="3"/>
        <v>0</v>
      </c>
      <c r="S17" s="75"/>
      <c r="T17" s="55">
        <f>ASISTENCIA!ES30</f>
        <v>0</v>
      </c>
      <c r="U17" s="55"/>
      <c r="V17" s="55">
        <f t="shared" si="4"/>
        <v>0</v>
      </c>
      <c r="W17" s="75"/>
      <c r="X17" s="55">
        <f>ASISTENCIA!EN30</f>
        <v>0</v>
      </c>
      <c r="Y17" s="55"/>
      <c r="Z17" s="55">
        <f t="shared" si="5"/>
        <v>0</v>
      </c>
      <c r="AA17" s="75"/>
      <c r="AB17" s="62">
        <f>ASISTENCIA!EK30</f>
        <v>0</v>
      </c>
      <c r="AC17" s="62"/>
      <c r="AD17" s="62">
        <f t="shared" si="6"/>
        <v>0</v>
      </c>
      <c r="AE17" s="75"/>
      <c r="AF17" s="63">
        <f>ASISTENCIA!EO30</f>
        <v>15</v>
      </c>
      <c r="AG17" s="63"/>
      <c r="AH17" s="63">
        <f t="shared" si="7"/>
        <v>15</v>
      </c>
    </row>
    <row r="18" spans="1:34" x14ac:dyDescent="0.25">
      <c r="A18" s="68">
        <f t="shared" si="8"/>
        <v>13</v>
      </c>
      <c r="B18" s="60" t="str">
        <f>ASISTENCIA!B31</f>
        <v>TENORIO MARTINEZ DE CISNEROS RUTH LOURDES</v>
      </c>
      <c r="C18" s="76"/>
      <c r="D18" s="63">
        <f>ASISTENCIA!EM31</f>
        <v>0</v>
      </c>
      <c r="E18" s="63"/>
      <c r="F18" s="63">
        <f t="shared" si="0"/>
        <v>0</v>
      </c>
      <c r="G18" s="75"/>
      <c r="H18" s="55">
        <f>ASISTENCIA!EP31</f>
        <v>0</v>
      </c>
      <c r="I18" s="55"/>
      <c r="J18" s="55">
        <f t="shared" si="1"/>
        <v>0</v>
      </c>
      <c r="K18" s="75"/>
      <c r="L18" s="55">
        <f>ASISTENCIA!EQ31</f>
        <v>0</v>
      </c>
      <c r="M18" s="55"/>
      <c r="N18" s="55">
        <f t="shared" si="2"/>
        <v>0</v>
      </c>
      <c r="O18" s="75"/>
      <c r="P18" s="55">
        <f>ASISTENCIA!ER31</f>
        <v>0</v>
      </c>
      <c r="Q18" s="55"/>
      <c r="R18" s="55">
        <f t="shared" si="3"/>
        <v>0</v>
      </c>
      <c r="S18" s="75"/>
      <c r="T18" s="55">
        <f>ASISTENCIA!ES31</f>
        <v>0</v>
      </c>
      <c r="U18" s="55"/>
      <c r="V18" s="55">
        <f t="shared" si="4"/>
        <v>0</v>
      </c>
      <c r="W18" s="75"/>
      <c r="X18" s="55">
        <f>ASISTENCIA!EN31</f>
        <v>0</v>
      </c>
      <c r="Y18" s="55"/>
      <c r="Z18" s="55">
        <f t="shared" si="5"/>
        <v>0</v>
      </c>
      <c r="AA18" s="75"/>
      <c r="AB18" s="62">
        <f>ASISTENCIA!EK31</f>
        <v>0</v>
      </c>
      <c r="AC18" s="62"/>
      <c r="AD18" s="62">
        <f t="shared" si="6"/>
        <v>0</v>
      </c>
      <c r="AE18" s="75"/>
      <c r="AF18" s="63">
        <f>ASISTENCIA!EO31</f>
        <v>15</v>
      </c>
      <c r="AG18" s="63"/>
      <c r="AH18" s="63">
        <f t="shared" si="7"/>
        <v>15</v>
      </c>
    </row>
    <row r="19" spans="1:34" x14ac:dyDescent="0.25">
      <c r="A19" s="68">
        <f t="shared" si="8"/>
        <v>14</v>
      </c>
      <c r="B19" s="60" t="str">
        <f>ASISTENCIA!B32</f>
        <v>VASQUEZ CUNYAS, JOSE EDGAR</v>
      </c>
      <c r="C19" s="76"/>
      <c r="D19" s="63">
        <f>ASISTENCIA!EM32</f>
        <v>3</v>
      </c>
      <c r="E19" s="63"/>
      <c r="F19" s="63">
        <f t="shared" si="0"/>
        <v>3</v>
      </c>
      <c r="G19" s="75"/>
      <c r="H19" s="55">
        <f>ASISTENCIA!EP32</f>
        <v>2</v>
      </c>
      <c r="I19" s="55"/>
      <c r="J19" s="55">
        <f t="shared" si="1"/>
        <v>2</v>
      </c>
      <c r="K19" s="75"/>
      <c r="L19" s="55">
        <f>ASISTENCIA!EQ32</f>
        <v>0</v>
      </c>
      <c r="M19" s="55"/>
      <c r="N19" s="55">
        <f t="shared" si="2"/>
        <v>0</v>
      </c>
      <c r="O19" s="75"/>
      <c r="P19" s="55">
        <f>ASISTENCIA!ER32</f>
        <v>0</v>
      </c>
      <c r="Q19" s="55"/>
      <c r="R19" s="55">
        <f t="shared" si="3"/>
        <v>0</v>
      </c>
      <c r="S19" s="75"/>
      <c r="T19" s="55">
        <f>ASISTENCIA!ES32</f>
        <v>0</v>
      </c>
      <c r="U19" s="55"/>
      <c r="V19" s="55">
        <f t="shared" si="4"/>
        <v>0</v>
      </c>
      <c r="W19" s="75"/>
      <c r="X19" s="55">
        <f>ASISTENCIA!EN32</f>
        <v>0</v>
      </c>
      <c r="Y19" s="55"/>
      <c r="Z19" s="55">
        <f t="shared" si="5"/>
        <v>0</v>
      </c>
      <c r="AA19" s="75"/>
      <c r="AB19" s="62">
        <f>ASISTENCIA!EK32</f>
        <v>0</v>
      </c>
      <c r="AC19" s="62"/>
      <c r="AD19" s="62">
        <f t="shared" si="6"/>
        <v>0</v>
      </c>
      <c r="AE19" s="75"/>
      <c r="AF19" s="63">
        <f>ASISTENCIA!EO32</f>
        <v>15</v>
      </c>
      <c r="AG19" s="63"/>
      <c r="AH19" s="63">
        <f t="shared" si="7"/>
        <v>15</v>
      </c>
    </row>
    <row r="20" spans="1:34" x14ac:dyDescent="0.25">
      <c r="A20" s="68">
        <f t="shared" si="8"/>
        <v>15</v>
      </c>
      <c r="B20" s="60" t="str">
        <f>ASISTENCIA!B33</f>
        <v>ZACARIAS CORONEL MIGUEL ANGEL</v>
      </c>
      <c r="C20" s="76"/>
      <c r="D20" s="63">
        <f>ASISTENCIA!EM33</f>
        <v>2</v>
      </c>
      <c r="E20" s="63"/>
      <c r="F20" s="63">
        <f t="shared" si="0"/>
        <v>2</v>
      </c>
      <c r="G20" s="75"/>
      <c r="H20" s="55">
        <f>ASISTENCIA!EP33</f>
        <v>1</v>
      </c>
      <c r="I20" s="55"/>
      <c r="J20" s="55">
        <f t="shared" si="1"/>
        <v>1</v>
      </c>
      <c r="K20" s="75"/>
      <c r="L20" s="55">
        <f>ASISTENCIA!EQ33</f>
        <v>0</v>
      </c>
      <c r="M20" s="55"/>
      <c r="N20" s="55">
        <f t="shared" si="2"/>
        <v>0</v>
      </c>
      <c r="O20" s="75"/>
      <c r="P20" s="55">
        <f>ASISTENCIA!ER33</f>
        <v>0</v>
      </c>
      <c r="Q20" s="55"/>
      <c r="R20" s="55">
        <f t="shared" si="3"/>
        <v>0</v>
      </c>
      <c r="S20" s="75"/>
      <c r="T20" s="55">
        <f>ASISTENCIA!ES33</f>
        <v>0</v>
      </c>
      <c r="U20" s="55"/>
      <c r="V20" s="55">
        <f t="shared" si="4"/>
        <v>0</v>
      </c>
      <c r="W20" s="75"/>
      <c r="X20" s="55">
        <f>ASISTENCIA!EN33</f>
        <v>2</v>
      </c>
      <c r="Y20" s="55"/>
      <c r="Z20" s="55">
        <f t="shared" si="5"/>
        <v>2</v>
      </c>
      <c r="AA20" s="75"/>
      <c r="AB20" s="62">
        <f>ASISTENCIA!EK33</f>
        <v>59.999999999999659</v>
      </c>
      <c r="AC20" s="62"/>
      <c r="AD20" s="62">
        <f t="shared" si="6"/>
        <v>59.999999999999659</v>
      </c>
      <c r="AE20" s="75"/>
      <c r="AF20" s="63">
        <f>ASISTENCIA!EO33</f>
        <v>13</v>
      </c>
      <c r="AG20" s="63"/>
      <c r="AH20" s="63">
        <f t="shared" si="7"/>
        <v>13</v>
      </c>
    </row>
  </sheetData>
  <mergeCells count="25">
    <mergeCell ref="X4:Y4"/>
    <mergeCell ref="Z4:Z5"/>
    <mergeCell ref="A3:B4"/>
    <mergeCell ref="H3:J3"/>
    <mergeCell ref="H4:I4"/>
    <mergeCell ref="J4:J5"/>
    <mergeCell ref="L3:N3"/>
    <mergeCell ref="L4:M4"/>
    <mergeCell ref="N4:N5"/>
    <mergeCell ref="AF3:AH3"/>
    <mergeCell ref="AF4:AG4"/>
    <mergeCell ref="AH4:AH5"/>
    <mergeCell ref="D3:F3"/>
    <mergeCell ref="D4:E4"/>
    <mergeCell ref="F4:F5"/>
    <mergeCell ref="P3:R3"/>
    <mergeCell ref="P4:Q4"/>
    <mergeCell ref="R4:R5"/>
    <mergeCell ref="AB3:AD3"/>
    <mergeCell ref="AB4:AC4"/>
    <mergeCell ref="AD4:AD5"/>
    <mergeCell ref="T3:V3"/>
    <mergeCell ref="T4:U4"/>
    <mergeCell ref="V4:V5"/>
    <mergeCell ref="X3:Z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TASAS</vt:lpstr>
      <vt:lpstr>quinta categoria</vt:lpstr>
      <vt:lpstr>Tabla</vt:lpstr>
      <vt:lpstr>1RA QUINCENA JUNIO 26</vt:lpstr>
      <vt:lpstr>ASISTENCIA</vt:lpstr>
      <vt:lpstr>HOJA RXH</vt:lpstr>
      <vt:lpstr>TASAS!TAB_AFP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 de Servidor</dc:creator>
  <cp:lastModifiedBy>Javier Cisneros suma</cp:lastModifiedBy>
  <cp:lastPrinted>2026-06-09T14:49:47Z</cp:lastPrinted>
  <dcterms:created xsi:type="dcterms:W3CDTF">2021-09-15T16:13:02Z</dcterms:created>
  <dcterms:modified xsi:type="dcterms:W3CDTF">2026-06-16T20:47:12Z</dcterms:modified>
</cp:coreProperties>
</file>